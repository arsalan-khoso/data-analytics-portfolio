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By work package" sheetId="2" r:id="rId2"/>
    <sheet name="By city" sheetId="3" r:id="rId3"/>
    <sheet name="By client" sheetId="4" r:id="rId4"/>
    <sheet name="Monthly trend" sheetId="5" r:id="rId5"/>
    <sheet name="Top 10 overruns" sheetId="6" r:id="rId6"/>
    <sheet name="Clean data" sheetId="7" r:id="rId7"/>
  </sheets>
  <calcPr calcId="124519" fullCalcOnLoad="1"/>
</workbook>
</file>

<file path=xl/sharedStrings.xml><?xml version="1.0" encoding="utf-8"?>
<sst xmlns="http://schemas.openxmlformats.org/spreadsheetml/2006/main" count="588" uniqueCount="75">
  <si>
    <t>Construction Portfolio - Cost &amp; Schedule Performance</t>
  </si>
  <si>
    <t>24 projects | 2024-2025 | SAR</t>
  </si>
  <si>
    <t>KPI</t>
  </si>
  <si>
    <t>Value</t>
  </si>
  <si>
    <t>Planned budget (SAR)</t>
  </si>
  <si>
    <t>Actual cost (SAR)</t>
  </si>
  <si>
    <t>Cost variance (SAR)</t>
  </si>
  <si>
    <t>Portfolio overrun</t>
  </si>
  <si>
    <t>Packages over budget</t>
  </si>
  <si>
    <t>Average delay (days)</t>
  </si>
  <si>
    <t>Delay vs overrun correlation</t>
  </si>
  <si>
    <t>packages</t>
  </si>
  <si>
    <t>planned_sar</t>
  </si>
  <si>
    <t>actual_sar</t>
  </si>
  <si>
    <t>variance_sar</t>
  </si>
  <si>
    <t>avg_overrun_pct</t>
  </si>
  <si>
    <t>avg_delay_days</t>
  </si>
  <si>
    <t>work_package</t>
  </si>
  <si>
    <t>Finishing</t>
  </si>
  <si>
    <t>MEP</t>
  </si>
  <si>
    <t>Electrical</t>
  </si>
  <si>
    <t>HVAC</t>
  </si>
  <si>
    <t>Steel Structure</t>
  </si>
  <si>
    <t>Civil Works</t>
  </si>
  <si>
    <t>Site Preparation</t>
  </si>
  <si>
    <t>projects</t>
  </si>
  <si>
    <t>on_budget_rate</t>
  </si>
  <si>
    <t>city</t>
  </si>
  <si>
    <t>Jubail</t>
  </si>
  <si>
    <t>Riyadh</t>
  </si>
  <si>
    <t>Dammam</t>
  </si>
  <si>
    <t>Khobar</t>
  </si>
  <si>
    <t>Jeddah</t>
  </si>
  <si>
    <t>client_type</t>
  </si>
  <si>
    <t>Government</t>
  </si>
  <si>
    <t>Private</t>
  </si>
  <si>
    <t>Semi-Government</t>
  </si>
  <si>
    <t>cumulative_variance_sar</t>
  </si>
  <si>
    <t>month</t>
  </si>
  <si>
    <t>project_id</t>
  </si>
  <si>
    <t>planned_cost_sar</t>
  </si>
  <si>
    <t>actual_cost_sar</t>
  </si>
  <si>
    <t>cost_variance_sar</t>
  </si>
  <si>
    <t>cost_overrun_pct</t>
  </si>
  <si>
    <t>delay_days</t>
  </si>
  <si>
    <t>PRJ-010</t>
  </si>
  <si>
    <t>PRJ-014</t>
  </si>
  <si>
    <t>PRJ-022</t>
  </si>
  <si>
    <t>PRJ-013</t>
  </si>
  <si>
    <t>PRJ-008</t>
  </si>
  <si>
    <t>PRJ-019</t>
  </si>
  <si>
    <t>PRJ-007</t>
  </si>
  <si>
    <t>PRJ-011</t>
  </si>
  <si>
    <t>PRJ-020</t>
  </si>
  <si>
    <t>start_date</t>
  </si>
  <si>
    <t>end_date</t>
  </si>
  <si>
    <t>planned_days</t>
  </si>
  <si>
    <t>actual_days</t>
  </si>
  <si>
    <t>schedule_slip_pct</t>
  </si>
  <si>
    <t>over_budget</t>
  </si>
  <si>
    <t>PRJ-001</t>
  </si>
  <si>
    <t>PRJ-002</t>
  </si>
  <si>
    <t>PRJ-003</t>
  </si>
  <si>
    <t>PRJ-004</t>
  </si>
  <si>
    <t>PRJ-005</t>
  </si>
  <si>
    <t>PRJ-006</t>
  </si>
  <si>
    <t>PRJ-009</t>
  </si>
  <si>
    <t>PRJ-012</t>
  </si>
  <si>
    <t>PRJ-015</t>
  </si>
  <si>
    <t>PRJ-016</t>
  </si>
  <si>
    <t>PRJ-017</t>
  </si>
  <si>
    <t>PRJ-018</t>
  </si>
  <si>
    <t>PRJ-021</t>
  </si>
  <si>
    <t>PRJ-023</t>
  </si>
  <si>
    <t>PRJ-024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</si>
</sst>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YYYY-MM-DD HH:MM:SS"/>
  </numFmts>
  <fonts count="4">
    <font>
      <sz val="11"/>
      <color theme="1"/>
      <name val="Calibri"/>
      <family val="2"/>
      <scheme val="minor"/>
    </font>
    <font>
      <b/>
      <sz val="15"/>
      <color rgb="FF1F3A5F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10</xdr:col>
      <xdr:colOff>365847</xdr:colOff>
      <xdr:row>12</xdr:row>
      <xdr:rowOff>167689</xdr:rowOff>
    </xdr:to>
    <xdr:pic>
      <xdr:nvPicPr>
        <xdr:cNvPr id="2" name="Picture 1" descr="01_variance_by_packag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90500"/>
          <a:ext cx="4023447" cy="226318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10</xdr:col>
      <xdr:colOff>365847</xdr:colOff>
      <xdr:row>32</xdr:row>
      <xdr:rowOff>167689</xdr:rowOff>
    </xdr:to>
    <xdr:pic>
      <xdr:nvPicPr>
        <xdr:cNvPr id="3" name="Picture 2" descr="02_delay_vs_overru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6275" y="4000500"/>
          <a:ext cx="4023447" cy="22631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1114499</xdr:colOff>
      <xdr:row>25</xdr:row>
      <xdr:rowOff>15281</xdr:rowOff>
    </xdr:to>
    <xdr:pic>
      <xdr:nvPicPr>
        <xdr:cNvPr id="4" name="Picture 3" descr="04_overrun_by_city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" y="2857500"/>
          <a:ext cx="3429074" cy="1920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12"/>
  <sheetViews>
    <sheetView showGridLines="0" tabSelected="1" workbookViewId="0"/>
  </sheetViews>
  <sheetFormatPr defaultRowHeight="15"/>
  <cols>
    <col min="1" max="1" width="2.7109375" customWidth="1"/>
    <col min="2" max="2" width="34.7109375" customWidth="1"/>
    <col min="3" max="3" width="20.7109375" customWidth="1"/>
  </cols>
  <sheetData>
    <row r="2" spans="2:3">
      <c r="B2" s="1" t="s">
        <v>0</v>
      </c>
    </row>
    <row r="3" spans="2:3">
      <c r="B3" s="2" t="s">
        <v>1</v>
      </c>
    </row>
    <row r="5" spans="2:3">
      <c r="B5" s="3" t="s">
        <v>2</v>
      </c>
      <c r="C5" s="3" t="s">
        <v>3</v>
      </c>
    </row>
    <row r="6" spans="2:3">
      <c r="B6" s="4" t="s">
        <v>4</v>
      </c>
      <c r="C6" s="5">
        <v>169559000</v>
      </c>
    </row>
    <row r="7" spans="2:3">
      <c r="B7" s="4" t="s">
        <v>5</v>
      </c>
      <c r="C7" s="5">
        <v>183428524.85</v>
      </c>
    </row>
    <row r="8" spans="2:3">
      <c r="B8" s="4" t="s">
        <v>6</v>
      </c>
      <c r="C8" s="5">
        <v>13869524.84999996</v>
      </c>
    </row>
    <row r="9" spans="2:3">
      <c r="B9" s="4" t="s">
        <v>7</v>
      </c>
      <c r="C9" s="6">
        <v>0.08179763297731152</v>
      </c>
    </row>
    <row r="10" spans="2:3">
      <c r="B10" s="4" t="s">
        <v>8</v>
      </c>
      <c r="C10" s="6">
        <v>0.8524590163934426</v>
      </c>
    </row>
    <row r="11" spans="2:3">
      <c r="B11" s="4" t="s">
        <v>9</v>
      </c>
      <c r="C11" s="5">
        <v>14.9</v>
      </c>
    </row>
    <row r="12" spans="2:3">
      <c r="B12" s="4" t="s">
        <v>10</v>
      </c>
      <c r="C12" s="5">
        <v>0.82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7" width="17.7109375" customWidth="1"/>
  </cols>
  <sheetData>
    <row r="1" spans="1:7">
      <c r="A1" t="s">
        <v>17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 t="s">
        <v>18</v>
      </c>
      <c r="B2">
        <v>19</v>
      </c>
      <c r="C2">
        <v>29186000</v>
      </c>
      <c r="D2">
        <v>32568325.02</v>
      </c>
      <c r="E2">
        <v>3382325.02</v>
      </c>
      <c r="F2">
        <v>11.96</v>
      </c>
      <c r="G2">
        <v>20.53</v>
      </c>
    </row>
    <row r="3" spans="1:7">
      <c r="A3" t="s">
        <v>19</v>
      </c>
      <c r="B3">
        <v>18</v>
      </c>
      <c r="C3">
        <v>24442000</v>
      </c>
      <c r="D3">
        <v>27793033.7</v>
      </c>
      <c r="E3">
        <v>3351033.7</v>
      </c>
      <c r="F3">
        <v>13.22</v>
      </c>
      <c r="G3">
        <v>22.78</v>
      </c>
    </row>
    <row r="4" spans="1:7">
      <c r="A4" t="s">
        <v>20</v>
      </c>
      <c r="B4">
        <v>16</v>
      </c>
      <c r="C4">
        <v>24186000</v>
      </c>
      <c r="D4">
        <v>26585870.61</v>
      </c>
      <c r="E4">
        <v>2399870.61</v>
      </c>
      <c r="F4">
        <v>9.41</v>
      </c>
      <c r="G4">
        <v>13.94</v>
      </c>
    </row>
    <row r="5" spans="1:7">
      <c r="A5" t="s">
        <v>21</v>
      </c>
      <c r="B5">
        <v>16</v>
      </c>
      <c r="C5">
        <v>26623000</v>
      </c>
      <c r="D5">
        <v>28889374.72</v>
      </c>
      <c r="E5">
        <v>2266374.72</v>
      </c>
      <c r="F5">
        <v>7.41</v>
      </c>
      <c r="G5">
        <v>16.19</v>
      </c>
    </row>
    <row r="6" spans="1:7">
      <c r="A6" t="s">
        <v>22</v>
      </c>
      <c r="B6">
        <v>19</v>
      </c>
      <c r="C6">
        <v>26526000</v>
      </c>
      <c r="D6">
        <v>28398971.45</v>
      </c>
      <c r="E6">
        <v>1872971.45</v>
      </c>
      <c r="F6">
        <v>6.27</v>
      </c>
      <c r="G6">
        <v>13.42</v>
      </c>
    </row>
    <row r="7" spans="1:7">
      <c r="A7" t="s">
        <v>23</v>
      </c>
      <c r="B7">
        <v>19</v>
      </c>
      <c r="C7">
        <v>19245000</v>
      </c>
      <c r="D7">
        <v>20033544.31</v>
      </c>
      <c r="E7">
        <v>788544.3100000001</v>
      </c>
      <c r="F7">
        <v>4.79</v>
      </c>
      <c r="G7">
        <v>8.949999999999999</v>
      </c>
    </row>
    <row r="8" spans="1:7">
      <c r="A8" t="s">
        <v>24</v>
      </c>
      <c r="B8">
        <v>15</v>
      </c>
      <c r="C8">
        <v>19351000</v>
      </c>
      <c r="D8">
        <v>19159405.04</v>
      </c>
      <c r="E8">
        <v>-191594.96</v>
      </c>
      <c r="F8">
        <v>0.8</v>
      </c>
      <c r="G8">
        <v>7.27</v>
      </c>
    </row>
  </sheetData>
  <conditionalFormatting sqref="F2:F8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5" width="17.7109375" customWidth="1"/>
  </cols>
  <sheetData>
    <row r="1" spans="1:5">
      <c r="A1" t="s">
        <v>27</v>
      </c>
      <c r="B1" t="s">
        <v>25</v>
      </c>
      <c r="C1" t="s">
        <v>13</v>
      </c>
      <c r="D1" t="s">
        <v>15</v>
      </c>
      <c r="E1" t="s">
        <v>26</v>
      </c>
    </row>
    <row r="2" spans="1:5">
      <c r="A2" t="s">
        <v>28</v>
      </c>
      <c r="B2">
        <v>3</v>
      </c>
      <c r="C2">
        <v>24693058.45</v>
      </c>
      <c r="D2">
        <v>11.58</v>
      </c>
      <c r="E2">
        <v>6.67</v>
      </c>
    </row>
    <row r="3" spans="1:5">
      <c r="A3" t="s">
        <v>29</v>
      </c>
      <c r="B3">
        <v>6</v>
      </c>
      <c r="C3">
        <v>42268647.51</v>
      </c>
      <c r="D3">
        <v>8.82</v>
      </c>
      <c r="E3">
        <v>11.11</v>
      </c>
    </row>
    <row r="4" spans="1:5">
      <c r="A4" t="s">
        <v>30</v>
      </c>
      <c r="B4">
        <v>4</v>
      </c>
      <c r="C4">
        <v>22500676.31</v>
      </c>
      <c r="D4">
        <v>7.43</v>
      </c>
      <c r="E4">
        <v>19.05</v>
      </c>
    </row>
    <row r="5" spans="1:5">
      <c r="A5" t="s">
        <v>31</v>
      </c>
      <c r="B5">
        <v>8</v>
      </c>
      <c r="C5">
        <v>70553335.87</v>
      </c>
      <c r="D5">
        <v>6.67</v>
      </c>
      <c r="E5">
        <v>16.67</v>
      </c>
    </row>
    <row r="6" spans="1:5">
      <c r="A6" t="s">
        <v>32</v>
      </c>
      <c r="B6">
        <v>3</v>
      </c>
      <c r="C6">
        <v>23412806.71</v>
      </c>
      <c r="D6">
        <v>6.39</v>
      </c>
      <c r="E6">
        <v>17.65</v>
      </c>
    </row>
  </sheetData>
  <conditionalFormatting sqref="D2:D6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17.7109375" customWidth="1"/>
  </cols>
  <sheetData>
    <row r="1" spans="1:4">
      <c r="A1" t="s">
        <v>33</v>
      </c>
      <c r="B1" t="s">
        <v>11</v>
      </c>
      <c r="C1" t="s">
        <v>15</v>
      </c>
      <c r="D1" t="s">
        <v>16</v>
      </c>
    </row>
    <row r="2" spans="1:4">
      <c r="A2" t="s">
        <v>34</v>
      </c>
      <c r="B2">
        <v>61</v>
      </c>
      <c r="C2">
        <v>8.73</v>
      </c>
      <c r="D2">
        <v>17.56</v>
      </c>
    </row>
    <row r="3" spans="1:4">
      <c r="A3" t="s">
        <v>35</v>
      </c>
      <c r="B3">
        <v>57</v>
      </c>
      <c r="C3">
        <v>7.1</v>
      </c>
      <c r="D3">
        <v>12.53</v>
      </c>
    </row>
    <row r="4" spans="1:4">
      <c r="A4" t="s">
        <v>36</v>
      </c>
      <c r="B4">
        <v>4</v>
      </c>
      <c r="C4">
        <v>4.78</v>
      </c>
      <c r="D4">
        <v>7.75</v>
      </c>
    </row>
  </sheetData>
  <conditionalFormatting sqref="C2:C4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4" width="17.7109375" customWidth="1"/>
  </cols>
  <sheetData>
    <row r="1" spans="1:4">
      <c r="A1" t="s">
        <v>38</v>
      </c>
      <c r="B1" t="s">
        <v>12</v>
      </c>
      <c r="C1" t="s">
        <v>13</v>
      </c>
      <c r="D1" t="s">
        <v>37</v>
      </c>
    </row>
    <row r="2" spans="1:4">
      <c r="A2" s="7">
        <v>45292</v>
      </c>
      <c r="B2">
        <v>12343000</v>
      </c>
      <c r="C2">
        <v>13451641.65</v>
      </c>
      <c r="D2">
        <v>1108641.65</v>
      </c>
    </row>
    <row r="3" spans="1:4">
      <c r="A3" s="7">
        <v>45323</v>
      </c>
      <c r="B3">
        <v>7987000</v>
      </c>
      <c r="C3">
        <v>8707428.710000001</v>
      </c>
      <c r="D3">
        <v>1829070.360000001</v>
      </c>
    </row>
    <row r="4" spans="1:4">
      <c r="A4" s="7">
        <v>45352</v>
      </c>
      <c r="B4">
        <v>10725000</v>
      </c>
      <c r="C4">
        <v>11364316.73</v>
      </c>
      <c r="D4">
        <v>2468387.090000002</v>
      </c>
    </row>
    <row r="5" spans="1:4">
      <c r="A5" s="7">
        <v>45383</v>
      </c>
      <c r="B5">
        <v>7021000</v>
      </c>
      <c r="C5">
        <v>7443804.95</v>
      </c>
      <c r="D5">
        <v>2891192.040000002</v>
      </c>
    </row>
    <row r="6" spans="1:4">
      <c r="A6" s="7">
        <v>45413</v>
      </c>
      <c r="B6">
        <v>6011000</v>
      </c>
      <c r="C6">
        <v>5973732.12</v>
      </c>
      <c r="D6">
        <v>2853924.160000002</v>
      </c>
    </row>
    <row r="7" spans="1:4">
      <c r="A7" s="7">
        <v>45444</v>
      </c>
      <c r="B7">
        <v>4292000</v>
      </c>
      <c r="C7">
        <v>4451118.98</v>
      </c>
      <c r="D7">
        <v>3013043.140000002</v>
      </c>
    </row>
    <row r="8" spans="1:4">
      <c r="A8" s="7">
        <v>45474</v>
      </c>
      <c r="B8">
        <v>8465000</v>
      </c>
      <c r="C8">
        <v>8779342.18</v>
      </c>
      <c r="D8">
        <v>3327385.320000002</v>
      </c>
    </row>
    <row r="9" spans="1:4">
      <c r="A9" s="7">
        <v>45505</v>
      </c>
      <c r="B9">
        <v>7093000</v>
      </c>
      <c r="C9">
        <v>7713027.48</v>
      </c>
      <c r="D9">
        <v>3947412.800000003</v>
      </c>
    </row>
    <row r="10" spans="1:4">
      <c r="A10" s="7">
        <v>45536</v>
      </c>
      <c r="B10">
        <v>3680000</v>
      </c>
      <c r="C10">
        <v>4298457.89</v>
      </c>
      <c r="D10">
        <v>4565870.690000002</v>
      </c>
    </row>
    <row r="11" spans="1:4">
      <c r="A11" s="7">
        <v>45566</v>
      </c>
      <c r="B11">
        <v>15208000</v>
      </c>
      <c r="C11">
        <v>16444881.26</v>
      </c>
      <c r="D11">
        <v>5802751.950000002</v>
      </c>
    </row>
    <row r="12" spans="1:4">
      <c r="A12" s="7">
        <v>45597</v>
      </c>
      <c r="B12">
        <v>10016000</v>
      </c>
      <c r="C12">
        <v>11061934.6</v>
      </c>
      <c r="D12">
        <v>6848686.550000002</v>
      </c>
    </row>
    <row r="13" spans="1:4">
      <c r="A13" s="7">
        <v>45627</v>
      </c>
      <c r="B13">
        <v>3849000</v>
      </c>
      <c r="C13">
        <v>4034937.56</v>
      </c>
      <c r="D13">
        <v>7034624.110000001</v>
      </c>
    </row>
    <row r="14" spans="1:4">
      <c r="A14" s="7">
        <v>45658</v>
      </c>
      <c r="B14">
        <v>6855000</v>
      </c>
      <c r="C14">
        <v>7863104.78</v>
      </c>
      <c r="D14">
        <v>8042728.890000002</v>
      </c>
    </row>
    <row r="15" spans="1:4">
      <c r="A15" s="7">
        <v>45689</v>
      </c>
      <c r="B15">
        <v>3582000</v>
      </c>
      <c r="C15">
        <v>3760772.88</v>
      </c>
      <c r="D15">
        <v>8221501.770000001</v>
      </c>
    </row>
    <row r="16" spans="1:4">
      <c r="A16" s="7">
        <v>45717</v>
      </c>
      <c r="B16">
        <v>8031000</v>
      </c>
      <c r="C16">
        <v>8721772.48</v>
      </c>
      <c r="D16">
        <v>8912274.250000002</v>
      </c>
    </row>
    <row r="17" spans="1:4">
      <c r="A17" s="7">
        <v>45748</v>
      </c>
      <c r="B17">
        <v>17795000</v>
      </c>
      <c r="C17">
        <v>19428313.92</v>
      </c>
      <c r="D17">
        <v>10545588.17</v>
      </c>
    </row>
    <row r="18" spans="1:4">
      <c r="A18" s="7">
        <v>45778</v>
      </c>
      <c r="B18">
        <v>7351000</v>
      </c>
      <c r="C18">
        <v>7909156.48</v>
      </c>
      <c r="D18">
        <v>11103744.65</v>
      </c>
    </row>
    <row r="19" spans="1:4">
      <c r="A19" s="7">
        <v>45809</v>
      </c>
      <c r="B19">
        <v>10592000</v>
      </c>
      <c r="C19">
        <v>11736977.78</v>
      </c>
      <c r="D19">
        <v>12248722.43</v>
      </c>
    </row>
    <row r="20" spans="1:4">
      <c r="A20" s="7">
        <v>45839</v>
      </c>
      <c r="B20">
        <v>6588000</v>
      </c>
      <c r="C20">
        <v>7369956.45</v>
      </c>
      <c r="D20">
        <v>13030678.88</v>
      </c>
    </row>
    <row r="21" spans="1:4">
      <c r="A21" s="7">
        <v>45870</v>
      </c>
      <c r="B21">
        <v>12075000</v>
      </c>
      <c r="C21">
        <v>12913845.97</v>
      </c>
      <c r="D21">
        <v>13869524.85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9" width="17.7109375" customWidth="1"/>
  </cols>
  <sheetData>
    <row r="1" spans="1:9">
      <c r="B1" t="s">
        <v>39</v>
      </c>
      <c r="C1" t="s">
        <v>27</v>
      </c>
      <c r="D1" t="s">
        <v>17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>
      <c r="A2">
        <v>45</v>
      </c>
      <c r="B2" t="s">
        <v>45</v>
      </c>
      <c r="C2" t="s">
        <v>29</v>
      </c>
      <c r="D2" t="s">
        <v>18</v>
      </c>
      <c r="E2">
        <v>2586000</v>
      </c>
      <c r="F2">
        <v>3531156.24</v>
      </c>
      <c r="G2">
        <v>945156.24</v>
      </c>
      <c r="H2">
        <v>36.55</v>
      </c>
      <c r="I2">
        <v>56</v>
      </c>
    </row>
    <row r="3" spans="1:9">
      <c r="A3">
        <v>63</v>
      </c>
      <c r="B3" t="s">
        <v>46</v>
      </c>
      <c r="C3" t="s">
        <v>31</v>
      </c>
      <c r="D3" t="s">
        <v>21</v>
      </c>
      <c r="E3">
        <v>2500000</v>
      </c>
      <c r="F3">
        <v>3035294.42</v>
      </c>
      <c r="G3">
        <v>535294.42</v>
      </c>
      <c r="H3">
        <v>21.41</v>
      </c>
      <c r="I3">
        <v>17</v>
      </c>
    </row>
    <row r="4" spans="1:9">
      <c r="A4">
        <v>109</v>
      </c>
      <c r="B4" t="s">
        <v>47</v>
      </c>
      <c r="C4" t="s">
        <v>29</v>
      </c>
      <c r="D4" t="s">
        <v>19</v>
      </c>
      <c r="E4">
        <v>2219000</v>
      </c>
      <c r="F4">
        <v>2715184.6</v>
      </c>
      <c r="G4">
        <v>496184.6</v>
      </c>
      <c r="H4">
        <v>22.36</v>
      </c>
      <c r="I4">
        <v>34</v>
      </c>
    </row>
    <row r="5" spans="1:9">
      <c r="A5">
        <v>59</v>
      </c>
      <c r="B5" t="s">
        <v>48</v>
      </c>
      <c r="C5" t="s">
        <v>28</v>
      </c>
      <c r="D5" t="s">
        <v>18</v>
      </c>
      <c r="E5">
        <v>1803000</v>
      </c>
      <c r="F5">
        <v>2293782.3</v>
      </c>
      <c r="G5">
        <v>490782.3</v>
      </c>
      <c r="H5">
        <v>27.22</v>
      </c>
      <c r="I5">
        <v>65</v>
      </c>
    </row>
    <row r="6" spans="1:9">
      <c r="A6">
        <v>44</v>
      </c>
      <c r="B6" t="s">
        <v>45</v>
      </c>
      <c r="C6" t="s">
        <v>29</v>
      </c>
      <c r="D6" t="s">
        <v>19</v>
      </c>
      <c r="E6">
        <v>2279000</v>
      </c>
      <c r="F6">
        <v>2728325.77</v>
      </c>
      <c r="G6">
        <v>449325.77</v>
      </c>
      <c r="H6">
        <v>19.72</v>
      </c>
      <c r="I6">
        <v>32</v>
      </c>
    </row>
    <row r="7" spans="1:9">
      <c r="A7">
        <v>34</v>
      </c>
      <c r="B7" t="s">
        <v>49</v>
      </c>
      <c r="C7" t="s">
        <v>31</v>
      </c>
      <c r="D7" t="s">
        <v>21</v>
      </c>
      <c r="E7">
        <v>2441000</v>
      </c>
      <c r="F7">
        <v>2880192.16</v>
      </c>
      <c r="G7">
        <v>439192.16</v>
      </c>
      <c r="H7">
        <v>17.99</v>
      </c>
      <c r="I7">
        <v>9</v>
      </c>
    </row>
    <row r="8" spans="1:9">
      <c r="A8">
        <v>92</v>
      </c>
      <c r="B8" t="s">
        <v>50</v>
      </c>
      <c r="C8" t="s">
        <v>31</v>
      </c>
      <c r="D8" t="s">
        <v>22</v>
      </c>
      <c r="E8">
        <v>2391000</v>
      </c>
      <c r="F8">
        <v>2805957.5</v>
      </c>
      <c r="G8">
        <v>414957.5</v>
      </c>
      <c r="H8">
        <v>17.35</v>
      </c>
      <c r="I8">
        <v>30</v>
      </c>
    </row>
    <row r="9" spans="1:9">
      <c r="A9">
        <v>29</v>
      </c>
      <c r="B9" t="s">
        <v>51</v>
      </c>
      <c r="C9" t="s">
        <v>31</v>
      </c>
      <c r="D9" t="s">
        <v>20</v>
      </c>
      <c r="E9">
        <v>2342000</v>
      </c>
      <c r="F9">
        <v>2724132.99</v>
      </c>
      <c r="G9">
        <v>382132.99</v>
      </c>
      <c r="H9">
        <v>16.32</v>
      </c>
      <c r="I9">
        <v>12</v>
      </c>
    </row>
    <row r="10" spans="1:9">
      <c r="A10">
        <v>51</v>
      </c>
      <c r="B10" t="s">
        <v>52</v>
      </c>
      <c r="C10" t="s">
        <v>29</v>
      </c>
      <c r="D10" t="s">
        <v>19</v>
      </c>
      <c r="E10">
        <v>1478000</v>
      </c>
      <c r="F10">
        <v>1802033.02</v>
      </c>
      <c r="G10">
        <v>324033.02</v>
      </c>
      <c r="H10">
        <v>21.92</v>
      </c>
      <c r="I10">
        <v>6</v>
      </c>
    </row>
    <row r="11" spans="1:9">
      <c r="A11">
        <v>98</v>
      </c>
      <c r="B11" t="s">
        <v>53</v>
      </c>
      <c r="C11" t="s">
        <v>28</v>
      </c>
      <c r="D11" t="s">
        <v>22</v>
      </c>
      <c r="E11">
        <v>1461000</v>
      </c>
      <c r="F11">
        <v>1775992.26</v>
      </c>
      <c r="G11">
        <v>314992.26</v>
      </c>
      <c r="H11">
        <v>21.56</v>
      </c>
      <c r="I1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17" width="17.7109375" customWidth="1"/>
  </cols>
  <sheetData>
    <row r="1" spans="1:17">
      <c r="B1" t="s">
        <v>39</v>
      </c>
      <c r="C1" t="s">
        <v>27</v>
      </c>
      <c r="D1" t="s">
        <v>33</v>
      </c>
      <c r="E1" t="s">
        <v>17</v>
      </c>
      <c r="F1" t="s">
        <v>54</v>
      </c>
      <c r="G1" t="s">
        <v>55</v>
      </c>
      <c r="H1" t="s">
        <v>40</v>
      </c>
      <c r="I1" t="s">
        <v>41</v>
      </c>
      <c r="J1" t="s">
        <v>56</v>
      </c>
      <c r="K1" t="s">
        <v>57</v>
      </c>
      <c r="L1" t="s">
        <v>42</v>
      </c>
      <c r="M1" t="s">
        <v>43</v>
      </c>
      <c r="N1" t="s">
        <v>44</v>
      </c>
      <c r="O1" t="s">
        <v>58</v>
      </c>
      <c r="P1" t="s">
        <v>59</v>
      </c>
      <c r="Q1" t="s">
        <v>38</v>
      </c>
    </row>
    <row r="2" spans="1:17">
      <c r="A2">
        <v>0</v>
      </c>
      <c r="B2" t="s">
        <v>60</v>
      </c>
      <c r="C2" t="s">
        <v>31</v>
      </c>
      <c r="D2" t="s">
        <v>35</v>
      </c>
      <c r="E2" t="s">
        <v>22</v>
      </c>
      <c r="F2" s="7">
        <v>45458</v>
      </c>
      <c r="G2" s="7">
        <v>45624</v>
      </c>
      <c r="H2">
        <v>2108000</v>
      </c>
      <c r="I2">
        <v>2111809.64</v>
      </c>
      <c r="J2">
        <v>146</v>
      </c>
      <c r="K2">
        <v>166</v>
      </c>
      <c r="L2">
        <v>3809.64000000013</v>
      </c>
      <c r="M2">
        <v>0.1807229601518088</v>
      </c>
      <c r="N2">
        <v>20</v>
      </c>
      <c r="O2">
        <v>13.6986301369863</v>
      </c>
      <c r="P2" t="b">
        <v>1</v>
      </c>
      <c r="Q2" s="7">
        <v>45444</v>
      </c>
    </row>
    <row r="3" spans="1:17">
      <c r="A3">
        <v>1</v>
      </c>
      <c r="B3" t="s">
        <v>60</v>
      </c>
      <c r="C3" t="s">
        <v>31</v>
      </c>
      <c r="D3" t="s">
        <v>35</v>
      </c>
      <c r="E3" t="s">
        <v>21</v>
      </c>
      <c r="F3" s="7">
        <v>45567</v>
      </c>
      <c r="G3" s="7">
        <v>45686</v>
      </c>
      <c r="H3">
        <v>2069000</v>
      </c>
      <c r="I3">
        <v>2123987.71</v>
      </c>
      <c r="J3">
        <v>111</v>
      </c>
      <c r="K3">
        <v>119</v>
      </c>
      <c r="L3">
        <v>54987.70999999996</v>
      </c>
      <c r="M3">
        <v>2.657695021749636</v>
      </c>
      <c r="N3">
        <v>8</v>
      </c>
      <c r="O3">
        <v>7.207207207207207</v>
      </c>
      <c r="P3" t="b">
        <v>1</v>
      </c>
      <c r="Q3" s="7">
        <v>45566</v>
      </c>
    </row>
    <row r="4" spans="1:17">
      <c r="A4">
        <v>2</v>
      </c>
      <c r="B4" t="s">
        <v>60</v>
      </c>
      <c r="C4" t="s">
        <v>31</v>
      </c>
      <c r="D4" t="s">
        <v>35</v>
      </c>
      <c r="E4" t="s">
        <v>23</v>
      </c>
      <c r="F4" s="7">
        <v>45805</v>
      </c>
      <c r="G4" s="7">
        <v>45847</v>
      </c>
      <c r="H4">
        <v>774000</v>
      </c>
      <c r="I4">
        <v>811472.37</v>
      </c>
      <c r="J4">
        <v>42</v>
      </c>
      <c r="K4">
        <v>42</v>
      </c>
      <c r="L4">
        <v>37472.37</v>
      </c>
      <c r="M4">
        <v>4.841391472868216</v>
      </c>
      <c r="N4">
        <v>0</v>
      </c>
      <c r="O4">
        <v>0</v>
      </c>
      <c r="P4" t="b">
        <v>1</v>
      </c>
      <c r="Q4" s="7">
        <v>45778</v>
      </c>
    </row>
    <row r="5" spans="1:17">
      <c r="A5">
        <v>3</v>
      </c>
      <c r="B5" t="s">
        <v>60</v>
      </c>
      <c r="C5" t="s">
        <v>31</v>
      </c>
      <c r="D5" t="s">
        <v>35</v>
      </c>
      <c r="E5" t="s">
        <v>18</v>
      </c>
      <c r="F5" s="7">
        <v>45750</v>
      </c>
      <c r="G5" s="7">
        <v>45794</v>
      </c>
      <c r="H5">
        <v>1547000</v>
      </c>
      <c r="I5">
        <v>1762114.71</v>
      </c>
      <c r="J5">
        <v>37</v>
      </c>
      <c r="K5">
        <v>44</v>
      </c>
      <c r="L5">
        <v>215114.71</v>
      </c>
      <c r="M5">
        <v>13.90528183581124</v>
      </c>
      <c r="N5">
        <v>7</v>
      </c>
      <c r="O5">
        <v>18.91891891891892</v>
      </c>
      <c r="P5" t="b">
        <v>1</v>
      </c>
      <c r="Q5" s="7">
        <v>45748</v>
      </c>
    </row>
    <row r="6" spans="1:17">
      <c r="A6">
        <v>4</v>
      </c>
      <c r="B6" t="s">
        <v>61</v>
      </c>
      <c r="C6" t="s">
        <v>29</v>
      </c>
      <c r="D6" t="s">
        <v>34</v>
      </c>
      <c r="E6" t="s">
        <v>19</v>
      </c>
      <c r="F6" s="7">
        <v>45312</v>
      </c>
      <c r="G6" s="7">
        <v>45381</v>
      </c>
      <c r="H6">
        <v>2558000</v>
      </c>
      <c r="I6">
        <v>2672060.19</v>
      </c>
      <c r="J6">
        <v>58</v>
      </c>
      <c r="K6">
        <v>69</v>
      </c>
      <c r="L6">
        <v>114060.1899999999</v>
      </c>
      <c r="M6">
        <v>4.458959734167316</v>
      </c>
      <c r="N6">
        <v>11</v>
      </c>
      <c r="O6">
        <v>18.96551724137931</v>
      </c>
      <c r="P6" t="b">
        <v>1</v>
      </c>
      <c r="Q6" s="7">
        <v>45292</v>
      </c>
    </row>
    <row r="7" spans="1:17">
      <c r="A7">
        <v>5</v>
      </c>
      <c r="B7" t="s">
        <v>61</v>
      </c>
      <c r="C7" t="s">
        <v>29</v>
      </c>
      <c r="D7" t="s">
        <v>34</v>
      </c>
      <c r="E7" t="s">
        <v>24</v>
      </c>
      <c r="F7" s="7">
        <v>45326</v>
      </c>
      <c r="G7" s="7">
        <v>45492</v>
      </c>
      <c r="H7">
        <v>746000</v>
      </c>
      <c r="I7">
        <v>788099.6899999999</v>
      </c>
      <c r="J7">
        <v>152</v>
      </c>
      <c r="K7">
        <v>166</v>
      </c>
      <c r="L7">
        <v>42099.68999999994</v>
      </c>
      <c r="M7">
        <v>5.643390080428947</v>
      </c>
      <c r="N7">
        <v>14</v>
      </c>
      <c r="O7">
        <v>9.210526315789473</v>
      </c>
      <c r="P7" t="b">
        <v>1</v>
      </c>
      <c r="Q7" s="7">
        <v>45323</v>
      </c>
    </row>
    <row r="8" spans="1:17">
      <c r="A8">
        <v>6</v>
      </c>
      <c r="B8" t="s">
        <v>61</v>
      </c>
      <c r="C8" t="s">
        <v>29</v>
      </c>
      <c r="D8" t="s">
        <v>34</v>
      </c>
      <c r="E8" t="s">
        <v>22</v>
      </c>
      <c r="F8" s="7">
        <v>45889</v>
      </c>
      <c r="G8" s="7">
        <v>46017</v>
      </c>
      <c r="H8">
        <v>1231000</v>
      </c>
      <c r="I8">
        <v>1246668.55</v>
      </c>
      <c r="J8">
        <v>127</v>
      </c>
      <c r="K8">
        <v>128</v>
      </c>
      <c r="L8">
        <v>15668.55000000005</v>
      </c>
      <c r="M8">
        <v>1.272831031681563</v>
      </c>
      <c r="N8">
        <v>1</v>
      </c>
      <c r="O8">
        <v>0.7874015748031495</v>
      </c>
      <c r="P8" t="b">
        <v>1</v>
      </c>
      <c r="Q8" s="7">
        <v>45870</v>
      </c>
    </row>
    <row r="9" spans="1:17">
      <c r="A9">
        <v>7</v>
      </c>
      <c r="B9" t="s">
        <v>61</v>
      </c>
      <c r="C9" t="s">
        <v>29</v>
      </c>
      <c r="D9" t="s">
        <v>34</v>
      </c>
      <c r="E9" t="s">
        <v>18</v>
      </c>
      <c r="F9" s="7">
        <v>45535</v>
      </c>
      <c r="G9" s="7">
        <v>45644</v>
      </c>
      <c r="H9">
        <v>1787000</v>
      </c>
      <c r="I9">
        <v>1958642.9</v>
      </c>
      <c r="J9">
        <v>88</v>
      </c>
      <c r="K9">
        <v>109</v>
      </c>
      <c r="L9">
        <v>171642.8999999999</v>
      </c>
      <c r="M9">
        <v>9.605086737548959</v>
      </c>
      <c r="N9">
        <v>21</v>
      </c>
      <c r="O9">
        <v>23.86363636363636</v>
      </c>
      <c r="P9" t="b">
        <v>1</v>
      </c>
      <c r="Q9" s="7">
        <v>45505</v>
      </c>
    </row>
    <row r="10" spans="1:17">
      <c r="A10">
        <v>8</v>
      </c>
      <c r="B10" t="s">
        <v>62</v>
      </c>
      <c r="C10" t="s">
        <v>31</v>
      </c>
      <c r="D10" t="s">
        <v>35</v>
      </c>
      <c r="E10" t="s">
        <v>20</v>
      </c>
      <c r="F10" s="7">
        <v>45589</v>
      </c>
      <c r="G10" s="7">
        <v>45709</v>
      </c>
      <c r="H10">
        <v>2359000</v>
      </c>
      <c r="I10">
        <v>2642211.72</v>
      </c>
      <c r="J10">
        <v>102</v>
      </c>
      <c r="K10">
        <v>120</v>
      </c>
      <c r="L10">
        <v>283211.7200000002</v>
      </c>
      <c r="M10">
        <v>12.00558372191608</v>
      </c>
      <c r="N10">
        <v>18</v>
      </c>
      <c r="O10">
        <v>17.64705882352941</v>
      </c>
      <c r="P10" t="b">
        <v>1</v>
      </c>
      <c r="Q10" s="7">
        <v>45566</v>
      </c>
    </row>
    <row r="11" spans="1:17">
      <c r="A11">
        <v>9</v>
      </c>
      <c r="B11" t="s">
        <v>62</v>
      </c>
      <c r="C11" t="s">
        <v>31</v>
      </c>
      <c r="D11" t="s">
        <v>35</v>
      </c>
      <c r="E11" t="s">
        <v>23</v>
      </c>
      <c r="F11" s="7">
        <v>45520</v>
      </c>
      <c r="G11" s="7">
        <v>45571</v>
      </c>
      <c r="H11">
        <v>1259000</v>
      </c>
      <c r="I11">
        <v>1274204.19</v>
      </c>
      <c r="J11">
        <v>50</v>
      </c>
      <c r="K11">
        <v>51</v>
      </c>
      <c r="L11">
        <v>15204.18999999994</v>
      </c>
      <c r="M11">
        <v>1.207640190627478</v>
      </c>
      <c r="N11">
        <v>1</v>
      </c>
      <c r="O11">
        <v>2</v>
      </c>
      <c r="P11" t="b">
        <v>1</v>
      </c>
      <c r="Q11" s="7">
        <v>45505</v>
      </c>
    </row>
    <row r="12" spans="1:17">
      <c r="A12">
        <v>10</v>
      </c>
      <c r="B12" t="s">
        <v>62</v>
      </c>
      <c r="C12" t="s">
        <v>31</v>
      </c>
      <c r="D12" t="s">
        <v>35</v>
      </c>
      <c r="E12" t="s">
        <v>24</v>
      </c>
      <c r="F12" s="7">
        <v>45495</v>
      </c>
      <c r="G12" s="7">
        <v>45576</v>
      </c>
      <c r="H12">
        <v>1649000</v>
      </c>
      <c r="I12">
        <v>1539943.42</v>
      </c>
      <c r="J12">
        <v>81</v>
      </c>
      <c r="K12">
        <v>81</v>
      </c>
      <c r="L12">
        <v>-109056.5800000001</v>
      </c>
      <c r="M12">
        <v>-6.61349787750152</v>
      </c>
      <c r="N12">
        <v>0</v>
      </c>
      <c r="O12">
        <v>0</v>
      </c>
      <c r="P12" t="b">
        <v>0</v>
      </c>
      <c r="Q12" s="7">
        <v>45474</v>
      </c>
    </row>
    <row r="13" spans="1:17">
      <c r="A13">
        <v>11</v>
      </c>
      <c r="B13" t="s">
        <v>62</v>
      </c>
      <c r="C13" t="s">
        <v>31</v>
      </c>
      <c r="D13" t="s">
        <v>35</v>
      </c>
      <c r="E13" t="s">
        <v>22</v>
      </c>
      <c r="F13" s="7">
        <v>45837</v>
      </c>
      <c r="G13" s="7">
        <v>45918</v>
      </c>
      <c r="H13">
        <v>2507000</v>
      </c>
      <c r="I13">
        <v>2459597.32</v>
      </c>
      <c r="J13">
        <v>81</v>
      </c>
      <c r="K13">
        <v>81</v>
      </c>
      <c r="L13">
        <v>-47402.68000000017</v>
      </c>
      <c r="M13">
        <v>-1.890812923813329</v>
      </c>
      <c r="N13">
        <v>0</v>
      </c>
      <c r="O13">
        <v>0</v>
      </c>
      <c r="P13" t="b">
        <v>0</v>
      </c>
      <c r="Q13" s="7">
        <v>45809</v>
      </c>
    </row>
    <row r="14" spans="1:17">
      <c r="A14">
        <v>12</v>
      </c>
      <c r="B14" t="s">
        <v>62</v>
      </c>
      <c r="C14" t="s">
        <v>31</v>
      </c>
      <c r="D14" t="s">
        <v>35</v>
      </c>
      <c r="E14" t="s">
        <v>21</v>
      </c>
      <c r="F14" s="7">
        <v>45765</v>
      </c>
      <c r="G14" s="7">
        <v>45959</v>
      </c>
      <c r="H14">
        <v>2029000</v>
      </c>
      <c r="I14">
        <v>2223504.72</v>
      </c>
      <c r="J14">
        <v>175</v>
      </c>
      <c r="K14">
        <v>194</v>
      </c>
      <c r="L14">
        <v>194504.7200000002</v>
      </c>
      <c r="M14">
        <v>9.586235584031552</v>
      </c>
      <c r="N14">
        <v>19</v>
      </c>
      <c r="O14">
        <v>10.85714285714286</v>
      </c>
      <c r="P14" t="b">
        <v>1</v>
      </c>
      <c r="Q14" s="7">
        <v>45748</v>
      </c>
    </row>
    <row r="15" spans="1:17">
      <c r="A15">
        <v>13</v>
      </c>
      <c r="B15" t="s">
        <v>63</v>
      </c>
      <c r="C15" t="s">
        <v>28</v>
      </c>
      <c r="D15" t="s">
        <v>34</v>
      </c>
      <c r="E15" t="s">
        <v>21</v>
      </c>
      <c r="F15" s="7">
        <v>45475</v>
      </c>
      <c r="G15" s="7">
        <v>45635</v>
      </c>
      <c r="H15">
        <v>669000</v>
      </c>
      <c r="I15">
        <v>714815.16</v>
      </c>
      <c r="J15">
        <v>136</v>
      </c>
      <c r="K15">
        <v>160</v>
      </c>
      <c r="L15">
        <v>45815.16000000003</v>
      </c>
      <c r="M15">
        <v>6.848304932735432</v>
      </c>
      <c r="N15">
        <v>24</v>
      </c>
      <c r="O15">
        <v>17.64705882352941</v>
      </c>
      <c r="P15" t="b">
        <v>1</v>
      </c>
      <c r="Q15" s="7">
        <v>45474</v>
      </c>
    </row>
    <row r="16" spans="1:17">
      <c r="A16">
        <v>14</v>
      </c>
      <c r="B16" t="s">
        <v>63</v>
      </c>
      <c r="C16" t="s">
        <v>28</v>
      </c>
      <c r="D16" t="s">
        <v>34</v>
      </c>
      <c r="E16" t="s">
        <v>23</v>
      </c>
      <c r="F16" s="7">
        <v>45689</v>
      </c>
      <c r="G16" s="7">
        <v>45860</v>
      </c>
      <c r="H16">
        <v>1300000</v>
      </c>
      <c r="I16">
        <v>1328971.69</v>
      </c>
      <c r="J16">
        <v>157</v>
      </c>
      <c r="K16">
        <v>171</v>
      </c>
      <c r="L16">
        <v>28971.68999999994</v>
      </c>
      <c r="M16">
        <v>2.228591538461534</v>
      </c>
      <c r="N16">
        <v>14</v>
      </c>
      <c r="O16">
        <v>8.917197452229299</v>
      </c>
      <c r="P16" t="b">
        <v>1</v>
      </c>
      <c r="Q16" s="7">
        <v>45689</v>
      </c>
    </row>
    <row r="17" spans="1:17">
      <c r="A17">
        <v>15</v>
      </c>
      <c r="B17" t="s">
        <v>63</v>
      </c>
      <c r="C17" t="s">
        <v>28</v>
      </c>
      <c r="D17" t="s">
        <v>34</v>
      </c>
      <c r="E17" t="s">
        <v>19</v>
      </c>
      <c r="F17" s="7">
        <v>45668</v>
      </c>
      <c r="G17" s="7">
        <v>45770</v>
      </c>
      <c r="H17">
        <v>1225000</v>
      </c>
      <c r="I17">
        <v>1488068.29</v>
      </c>
      <c r="J17">
        <v>72</v>
      </c>
      <c r="K17">
        <v>102</v>
      </c>
      <c r="L17">
        <v>263068.29</v>
      </c>
      <c r="M17">
        <v>21.4749624489796</v>
      </c>
      <c r="N17">
        <v>30</v>
      </c>
      <c r="O17">
        <v>41.66666666666667</v>
      </c>
      <c r="P17" t="b">
        <v>1</v>
      </c>
      <c r="Q17" s="7">
        <v>45658</v>
      </c>
    </row>
    <row r="18" spans="1:17">
      <c r="A18">
        <v>16</v>
      </c>
      <c r="B18" t="s">
        <v>63</v>
      </c>
      <c r="C18" t="s">
        <v>28</v>
      </c>
      <c r="D18" t="s">
        <v>34</v>
      </c>
      <c r="E18" t="s">
        <v>18</v>
      </c>
      <c r="F18" s="7">
        <v>45399</v>
      </c>
      <c r="G18" s="7">
        <v>45445</v>
      </c>
      <c r="H18">
        <v>1701000</v>
      </c>
      <c r="I18">
        <v>1908236.28</v>
      </c>
      <c r="J18">
        <v>38</v>
      </c>
      <c r="K18">
        <v>46</v>
      </c>
      <c r="L18">
        <v>207236.28</v>
      </c>
      <c r="M18">
        <v>12.18320282186949</v>
      </c>
      <c r="N18">
        <v>8</v>
      </c>
      <c r="O18">
        <v>21.05263157894737</v>
      </c>
      <c r="P18" t="b">
        <v>1</v>
      </c>
      <c r="Q18" s="7">
        <v>45383</v>
      </c>
    </row>
    <row r="19" spans="1:17">
      <c r="A19">
        <v>17</v>
      </c>
      <c r="B19" t="s">
        <v>63</v>
      </c>
      <c r="C19" t="s">
        <v>28</v>
      </c>
      <c r="D19" t="s">
        <v>34</v>
      </c>
      <c r="E19" t="s">
        <v>22</v>
      </c>
      <c r="F19" s="7">
        <v>45489</v>
      </c>
      <c r="G19" s="7">
        <v>45549</v>
      </c>
      <c r="H19">
        <v>1375000</v>
      </c>
      <c r="I19">
        <v>1553363.12</v>
      </c>
      <c r="J19">
        <v>54</v>
      </c>
      <c r="K19">
        <v>60</v>
      </c>
      <c r="L19">
        <v>178363.1200000001</v>
      </c>
      <c r="M19">
        <v>12.97186327272728</v>
      </c>
      <c r="N19">
        <v>6</v>
      </c>
      <c r="O19">
        <v>11.11111111111111</v>
      </c>
      <c r="P19" t="b">
        <v>1</v>
      </c>
      <c r="Q19" s="7">
        <v>45474</v>
      </c>
    </row>
    <row r="20" spans="1:17">
      <c r="A20">
        <v>18</v>
      </c>
      <c r="B20" t="s">
        <v>64</v>
      </c>
      <c r="C20" t="s">
        <v>30</v>
      </c>
      <c r="D20" t="s">
        <v>34</v>
      </c>
      <c r="E20" t="s">
        <v>18</v>
      </c>
      <c r="F20" s="7">
        <v>45382</v>
      </c>
      <c r="G20" s="7">
        <v>45480</v>
      </c>
      <c r="H20">
        <v>1261000</v>
      </c>
      <c r="I20">
        <v>1424688.93</v>
      </c>
      <c r="J20">
        <v>78</v>
      </c>
      <c r="K20">
        <v>98</v>
      </c>
      <c r="L20">
        <v>163688.9299999999</v>
      </c>
      <c r="M20">
        <v>12.98088263283108</v>
      </c>
      <c r="N20">
        <v>20</v>
      </c>
      <c r="O20">
        <v>25.64102564102564</v>
      </c>
      <c r="P20" t="b">
        <v>1</v>
      </c>
      <c r="Q20" s="7">
        <v>45352</v>
      </c>
    </row>
    <row r="21" spans="1:17">
      <c r="A21">
        <v>19</v>
      </c>
      <c r="B21" t="s">
        <v>64</v>
      </c>
      <c r="C21" t="s">
        <v>30</v>
      </c>
      <c r="D21" t="s">
        <v>34</v>
      </c>
      <c r="E21" t="s">
        <v>22</v>
      </c>
      <c r="F21" s="7">
        <v>45581</v>
      </c>
      <c r="G21" s="7">
        <v>45679</v>
      </c>
      <c r="H21">
        <v>2499000</v>
      </c>
      <c r="I21">
        <v>2737900.01</v>
      </c>
      <c r="J21">
        <v>89</v>
      </c>
      <c r="K21">
        <v>98</v>
      </c>
      <c r="L21">
        <v>238900.0099999998</v>
      </c>
      <c r="M21">
        <v>9.559824329731883</v>
      </c>
      <c r="N21">
        <v>9</v>
      </c>
      <c r="O21">
        <v>10.1123595505618</v>
      </c>
      <c r="P21" t="b">
        <v>1</v>
      </c>
      <c r="Q21" s="7">
        <v>45566</v>
      </c>
    </row>
    <row r="22" spans="1:17">
      <c r="A22">
        <v>20</v>
      </c>
      <c r="B22" t="s">
        <v>64</v>
      </c>
      <c r="C22" t="s">
        <v>30</v>
      </c>
      <c r="D22" t="s">
        <v>34</v>
      </c>
      <c r="E22" t="s">
        <v>19</v>
      </c>
      <c r="F22" s="7">
        <v>45388</v>
      </c>
      <c r="G22" s="7">
        <v>45545</v>
      </c>
      <c r="H22">
        <v>847000</v>
      </c>
      <c r="I22">
        <v>1129927.98</v>
      </c>
      <c r="J22">
        <v>100</v>
      </c>
      <c r="K22">
        <v>157</v>
      </c>
      <c r="L22">
        <v>282927.98</v>
      </c>
      <c r="M22">
        <v>33.40353955135773</v>
      </c>
      <c r="N22">
        <v>57</v>
      </c>
      <c r="O22">
        <v>56.99999999999999</v>
      </c>
      <c r="P22" t="b">
        <v>1</v>
      </c>
      <c r="Q22" s="7">
        <v>45383</v>
      </c>
    </row>
    <row r="23" spans="1:17">
      <c r="A23">
        <v>21</v>
      </c>
      <c r="B23" t="s">
        <v>64</v>
      </c>
      <c r="C23" t="s">
        <v>30</v>
      </c>
      <c r="D23" t="s">
        <v>34</v>
      </c>
      <c r="E23" t="s">
        <v>20</v>
      </c>
      <c r="F23" s="7">
        <v>45576</v>
      </c>
      <c r="G23" s="7">
        <v>45702</v>
      </c>
      <c r="H23">
        <v>1563000</v>
      </c>
      <c r="I23">
        <v>1630243.23</v>
      </c>
      <c r="J23">
        <v>109</v>
      </c>
      <c r="K23">
        <v>126</v>
      </c>
      <c r="L23">
        <v>67243.22999999998</v>
      </c>
      <c r="M23">
        <v>4.302190019193857</v>
      </c>
      <c r="N23">
        <v>17</v>
      </c>
      <c r="O23">
        <v>15.59633027522936</v>
      </c>
      <c r="P23" t="b">
        <v>1</v>
      </c>
      <c r="Q23" s="7">
        <v>45566</v>
      </c>
    </row>
    <row r="24" spans="1:17">
      <c r="A24">
        <v>22</v>
      </c>
      <c r="B24" t="s">
        <v>65</v>
      </c>
      <c r="C24" t="s">
        <v>32</v>
      </c>
      <c r="D24" t="s">
        <v>35</v>
      </c>
      <c r="E24" t="s">
        <v>22</v>
      </c>
      <c r="F24" s="7">
        <v>45363</v>
      </c>
      <c r="G24" s="7">
        <v>45473</v>
      </c>
      <c r="H24">
        <v>911000</v>
      </c>
      <c r="I24">
        <v>888848.67</v>
      </c>
      <c r="J24">
        <v>110</v>
      </c>
      <c r="K24">
        <v>110</v>
      </c>
      <c r="L24">
        <v>-22151.32999999996</v>
      </c>
      <c r="M24">
        <v>-2.431540065861686</v>
      </c>
      <c r="N24">
        <v>0</v>
      </c>
      <c r="O24">
        <v>0</v>
      </c>
      <c r="P24" t="b">
        <v>0</v>
      </c>
      <c r="Q24" s="7">
        <v>45352</v>
      </c>
    </row>
    <row r="25" spans="1:17">
      <c r="A25">
        <v>23</v>
      </c>
      <c r="B25" t="s">
        <v>65</v>
      </c>
      <c r="C25" t="s">
        <v>32</v>
      </c>
      <c r="D25" t="s">
        <v>35</v>
      </c>
      <c r="E25" t="s">
        <v>20</v>
      </c>
      <c r="F25" s="7">
        <v>45687</v>
      </c>
      <c r="G25" s="7">
        <v>45770</v>
      </c>
      <c r="H25">
        <v>860000</v>
      </c>
      <c r="I25">
        <v>1022709.51</v>
      </c>
      <c r="J25">
        <v>62</v>
      </c>
      <c r="K25">
        <v>83</v>
      </c>
      <c r="L25">
        <v>162709.51</v>
      </c>
      <c r="M25">
        <v>18.91971046511628</v>
      </c>
      <c r="N25">
        <v>21</v>
      </c>
      <c r="O25">
        <v>33.87096774193548</v>
      </c>
      <c r="P25" t="b">
        <v>1</v>
      </c>
      <c r="Q25" s="7">
        <v>45658</v>
      </c>
    </row>
    <row r="26" spans="1:17">
      <c r="A26">
        <v>24</v>
      </c>
      <c r="B26" t="s">
        <v>65</v>
      </c>
      <c r="C26" t="s">
        <v>32</v>
      </c>
      <c r="D26" t="s">
        <v>35</v>
      </c>
      <c r="E26" t="s">
        <v>18</v>
      </c>
      <c r="F26" s="7">
        <v>45433</v>
      </c>
      <c r="G26" s="7">
        <v>45479</v>
      </c>
      <c r="H26">
        <v>956000</v>
      </c>
      <c r="I26">
        <v>962500.13</v>
      </c>
      <c r="J26">
        <v>41</v>
      </c>
      <c r="K26">
        <v>46</v>
      </c>
      <c r="L26">
        <v>6500.130000000005</v>
      </c>
      <c r="M26">
        <v>0.679929916317992</v>
      </c>
      <c r="N26">
        <v>5</v>
      </c>
      <c r="O26">
        <v>12.19512195121951</v>
      </c>
      <c r="P26" t="b">
        <v>1</v>
      </c>
      <c r="Q26" s="7">
        <v>45413</v>
      </c>
    </row>
    <row r="27" spans="1:17">
      <c r="A27">
        <v>25</v>
      </c>
      <c r="B27" t="s">
        <v>65</v>
      </c>
      <c r="C27" t="s">
        <v>32</v>
      </c>
      <c r="D27" t="s">
        <v>35</v>
      </c>
      <c r="E27" t="s">
        <v>24</v>
      </c>
      <c r="F27" s="7">
        <v>45624</v>
      </c>
      <c r="G27" s="7">
        <v>45683</v>
      </c>
      <c r="H27">
        <v>270000</v>
      </c>
      <c r="I27">
        <v>301295.61</v>
      </c>
      <c r="J27">
        <v>46</v>
      </c>
      <c r="K27">
        <v>59</v>
      </c>
      <c r="L27">
        <v>31295.60999999999</v>
      </c>
      <c r="M27">
        <v>11.59096666666666</v>
      </c>
      <c r="N27">
        <v>13</v>
      </c>
      <c r="O27">
        <v>28.26086956521739</v>
      </c>
      <c r="P27" t="b">
        <v>1</v>
      </c>
      <c r="Q27" s="7">
        <v>45597</v>
      </c>
    </row>
    <row r="28" spans="1:17">
      <c r="A28">
        <v>26</v>
      </c>
      <c r="B28" t="s">
        <v>65</v>
      </c>
      <c r="C28" t="s">
        <v>32</v>
      </c>
      <c r="D28" t="s">
        <v>35</v>
      </c>
      <c r="E28" t="s">
        <v>19</v>
      </c>
      <c r="F28" s="7">
        <v>45672</v>
      </c>
      <c r="G28" s="7">
        <v>45839</v>
      </c>
      <c r="H28">
        <v>1293000</v>
      </c>
      <c r="I28">
        <v>1432625.2</v>
      </c>
      <c r="J28">
        <v>150</v>
      </c>
      <c r="K28">
        <v>167</v>
      </c>
      <c r="L28">
        <v>139625.2</v>
      </c>
      <c r="M28">
        <v>10.79854601701469</v>
      </c>
      <c r="N28">
        <v>17</v>
      </c>
      <c r="O28">
        <v>11.33333333333333</v>
      </c>
      <c r="P28" t="b">
        <v>1</v>
      </c>
      <c r="Q28" s="7">
        <v>45658</v>
      </c>
    </row>
    <row r="29" spans="1:17">
      <c r="A29">
        <v>27</v>
      </c>
      <c r="B29" t="s">
        <v>65</v>
      </c>
      <c r="C29" t="s">
        <v>32</v>
      </c>
      <c r="D29" t="s">
        <v>35</v>
      </c>
      <c r="E29" t="s">
        <v>23</v>
      </c>
      <c r="F29" s="7">
        <v>45601</v>
      </c>
      <c r="G29" s="7">
        <v>45731</v>
      </c>
      <c r="H29">
        <v>884000</v>
      </c>
      <c r="I29">
        <v>891576.14</v>
      </c>
      <c r="J29">
        <v>121</v>
      </c>
      <c r="K29">
        <v>130</v>
      </c>
      <c r="L29">
        <v>7576.140000000014</v>
      </c>
      <c r="M29">
        <v>0.8570294117647075</v>
      </c>
      <c r="N29">
        <v>9</v>
      </c>
      <c r="O29">
        <v>7.43801652892562</v>
      </c>
      <c r="P29" t="b">
        <v>1</v>
      </c>
      <c r="Q29" s="7">
        <v>45597</v>
      </c>
    </row>
    <row r="30" spans="1:17">
      <c r="A30">
        <v>28</v>
      </c>
      <c r="B30" t="s">
        <v>51</v>
      </c>
      <c r="C30" t="s">
        <v>31</v>
      </c>
      <c r="D30" t="s">
        <v>35</v>
      </c>
      <c r="E30" t="s">
        <v>23</v>
      </c>
      <c r="F30" s="7">
        <v>45426</v>
      </c>
      <c r="G30" s="7">
        <v>45633</v>
      </c>
      <c r="H30">
        <v>546000</v>
      </c>
      <c r="I30">
        <v>631295.9</v>
      </c>
      <c r="J30">
        <v>163</v>
      </c>
      <c r="K30">
        <v>207</v>
      </c>
      <c r="L30">
        <v>85295.90000000002</v>
      </c>
      <c r="M30">
        <v>15.62195970695971</v>
      </c>
      <c r="N30">
        <v>44</v>
      </c>
      <c r="O30">
        <v>26.99386503067485</v>
      </c>
      <c r="P30" t="b">
        <v>1</v>
      </c>
      <c r="Q30" s="7">
        <v>45413</v>
      </c>
    </row>
    <row r="31" spans="1:17">
      <c r="A31">
        <v>29</v>
      </c>
      <c r="B31" t="s">
        <v>51</v>
      </c>
      <c r="C31" t="s">
        <v>31</v>
      </c>
      <c r="D31" t="s">
        <v>35</v>
      </c>
      <c r="E31" t="s">
        <v>20</v>
      </c>
      <c r="F31" s="7">
        <v>45603</v>
      </c>
      <c r="G31" s="7">
        <v>45657</v>
      </c>
      <c r="H31">
        <v>2342000</v>
      </c>
      <c r="I31">
        <v>2724132.99</v>
      </c>
      <c r="J31">
        <v>42</v>
      </c>
      <c r="K31">
        <v>54</v>
      </c>
      <c r="L31">
        <v>382132.9900000002</v>
      </c>
      <c r="M31">
        <v>16.31652391118703</v>
      </c>
      <c r="N31">
        <v>12</v>
      </c>
      <c r="O31">
        <v>28.57142857142857</v>
      </c>
      <c r="P31" t="b">
        <v>1</v>
      </c>
      <c r="Q31" s="7">
        <v>45597</v>
      </c>
    </row>
    <row r="32" spans="1:17">
      <c r="A32">
        <v>30</v>
      </c>
      <c r="B32" t="s">
        <v>51</v>
      </c>
      <c r="C32" t="s">
        <v>31</v>
      </c>
      <c r="D32" t="s">
        <v>35</v>
      </c>
      <c r="E32" t="s">
        <v>21</v>
      </c>
      <c r="F32" s="7">
        <v>45733</v>
      </c>
      <c r="G32" s="7">
        <v>45896</v>
      </c>
      <c r="H32">
        <v>992000</v>
      </c>
      <c r="I32">
        <v>1167537.25</v>
      </c>
      <c r="J32">
        <v>127</v>
      </c>
      <c r="K32">
        <v>163</v>
      </c>
      <c r="L32">
        <v>175537.25</v>
      </c>
      <c r="M32">
        <v>17.6952872983871</v>
      </c>
      <c r="N32">
        <v>36</v>
      </c>
      <c r="O32">
        <v>28.34645669291339</v>
      </c>
      <c r="P32" t="b">
        <v>1</v>
      </c>
      <c r="Q32" s="7">
        <v>45717</v>
      </c>
    </row>
    <row r="33" spans="1:17">
      <c r="A33">
        <v>31</v>
      </c>
      <c r="B33" t="s">
        <v>51</v>
      </c>
      <c r="C33" t="s">
        <v>31</v>
      </c>
      <c r="D33" t="s">
        <v>35</v>
      </c>
      <c r="E33" t="s">
        <v>18</v>
      </c>
      <c r="F33" s="7">
        <v>45449</v>
      </c>
      <c r="G33" s="7">
        <v>45535</v>
      </c>
      <c r="H33">
        <v>1987000</v>
      </c>
      <c r="I33">
        <v>2128300.21</v>
      </c>
      <c r="J33">
        <v>83</v>
      </c>
      <c r="K33">
        <v>86</v>
      </c>
      <c r="L33">
        <v>141300.21</v>
      </c>
      <c r="M33">
        <v>7.111233517866128</v>
      </c>
      <c r="N33">
        <v>3</v>
      </c>
      <c r="O33">
        <v>3.614457831325301</v>
      </c>
      <c r="P33" t="b">
        <v>1</v>
      </c>
      <c r="Q33" s="7">
        <v>45444</v>
      </c>
    </row>
    <row r="34" spans="1:17">
      <c r="A34">
        <v>32</v>
      </c>
      <c r="B34" t="s">
        <v>49</v>
      </c>
      <c r="C34" t="s">
        <v>31</v>
      </c>
      <c r="D34" t="s">
        <v>36</v>
      </c>
      <c r="E34" t="s">
        <v>24</v>
      </c>
      <c r="F34" s="7">
        <v>45890</v>
      </c>
      <c r="G34" s="7">
        <v>46007</v>
      </c>
      <c r="H34">
        <v>1068000</v>
      </c>
      <c r="I34">
        <v>1020221.58</v>
      </c>
      <c r="J34">
        <v>117</v>
      </c>
      <c r="K34">
        <v>117</v>
      </c>
      <c r="L34">
        <v>-47778.42000000004</v>
      </c>
      <c r="M34">
        <v>-4.473634831460678</v>
      </c>
      <c r="N34">
        <v>0</v>
      </c>
      <c r="O34">
        <v>0</v>
      </c>
      <c r="P34" t="b">
        <v>0</v>
      </c>
      <c r="Q34" s="7">
        <v>45870</v>
      </c>
    </row>
    <row r="35" spans="1:17">
      <c r="A35">
        <v>33</v>
      </c>
      <c r="B35" t="s">
        <v>49</v>
      </c>
      <c r="C35" t="s">
        <v>31</v>
      </c>
      <c r="D35" t="s">
        <v>36</v>
      </c>
      <c r="E35" t="s">
        <v>20</v>
      </c>
      <c r="F35" s="7">
        <v>45875</v>
      </c>
      <c r="G35" s="7">
        <v>45958</v>
      </c>
      <c r="H35">
        <v>2061000</v>
      </c>
      <c r="I35">
        <v>2179486.5</v>
      </c>
      <c r="J35">
        <v>74</v>
      </c>
      <c r="K35">
        <v>83</v>
      </c>
      <c r="L35">
        <v>118486.5</v>
      </c>
      <c r="M35">
        <v>5.748981077147016</v>
      </c>
      <c r="N35">
        <v>9</v>
      </c>
      <c r="O35">
        <v>12.16216216216216</v>
      </c>
      <c r="P35" t="b">
        <v>1</v>
      </c>
      <c r="Q35" s="7">
        <v>45870</v>
      </c>
    </row>
    <row r="36" spans="1:17">
      <c r="A36">
        <v>34</v>
      </c>
      <c r="B36" t="s">
        <v>49</v>
      </c>
      <c r="C36" t="s">
        <v>31</v>
      </c>
      <c r="D36" t="s">
        <v>36</v>
      </c>
      <c r="E36" t="s">
        <v>21</v>
      </c>
      <c r="F36" s="7">
        <v>45302</v>
      </c>
      <c r="G36" s="7">
        <v>45338</v>
      </c>
      <c r="H36">
        <v>2441000</v>
      </c>
      <c r="I36">
        <v>2880192.16</v>
      </c>
      <c r="J36">
        <v>27</v>
      </c>
      <c r="K36">
        <v>36</v>
      </c>
      <c r="L36">
        <v>439192.1600000001</v>
      </c>
      <c r="M36">
        <v>17.99230479311758</v>
      </c>
      <c r="N36">
        <v>9</v>
      </c>
      <c r="O36">
        <v>33.33333333333333</v>
      </c>
      <c r="P36" t="b">
        <v>1</v>
      </c>
      <c r="Q36" s="7">
        <v>45292</v>
      </c>
    </row>
    <row r="37" spans="1:17">
      <c r="A37">
        <v>35</v>
      </c>
      <c r="B37" t="s">
        <v>49</v>
      </c>
      <c r="C37" t="s">
        <v>31</v>
      </c>
      <c r="D37" t="s">
        <v>36</v>
      </c>
      <c r="E37" t="s">
        <v>23</v>
      </c>
      <c r="F37" s="7">
        <v>45365</v>
      </c>
      <c r="G37" s="7">
        <v>45553</v>
      </c>
      <c r="H37">
        <v>1819000</v>
      </c>
      <c r="I37">
        <v>1816495.37</v>
      </c>
      <c r="J37">
        <v>175</v>
      </c>
      <c r="K37">
        <v>188</v>
      </c>
      <c r="L37">
        <v>-2504.629999999888</v>
      </c>
      <c r="M37">
        <v>-0.1376926882902632</v>
      </c>
      <c r="N37">
        <v>13</v>
      </c>
      <c r="O37">
        <v>7.428571428571429</v>
      </c>
      <c r="P37" t="b">
        <v>0</v>
      </c>
      <c r="Q37" s="7">
        <v>45352</v>
      </c>
    </row>
    <row r="38" spans="1:17">
      <c r="A38">
        <v>36</v>
      </c>
      <c r="B38" t="s">
        <v>66</v>
      </c>
      <c r="C38" t="s">
        <v>30</v>
      </c>
      <c r="D38" t="s">
        <v>34</v>
      </c>
      <c r="E38" t="s">
        <v>19</v>
      </c>
      <c r="F38" s="7">
        <v>45848</v>
      </c>
      <c r="G38" s="7">
        <v>45978</v>
      </c>
      <c r="H38">
        <v>479000</v>
      </c>
      <c r="I38">
        <v>513804.7</v>
      </c>
      <c r="J38">
        <v>112</v>
      </c>
      <c r="K38">
        <v>130</v>
      </c>
      <c r="L38">
        <v>34804.70000000001</v>
      </c>
      <c r="M38">
        <v>7.266116910229647</v>
      </c>
      <c r="N38">
        <v>18</v>
      </c>
      <c r="O38">
        <v>16.07142857142857</v>
      </c>
      <c r="P38" t="b">
        <v>1</v>
      </c>
      <c r="Q38" s="7">
        <v>45839</v>
      </c>
    </row>
    <row r="39" spans="1:17">
      <c r="A39">
        <v>37</v>
      </c>
      <c r="B39" t="s">
        <v>66</v>
      </c>
      <c r="C39" t="s">
        <v>30</v>
      </c>
      <c r="D39" t="s">
        <v>34</v>
      </c>
      <c r="E39" t="s">
        <v>18</v>
      </c>
      <c r="F39" s="7">
        <v>45604</v>
      </c>
      <c r="G39" s="7">
        <v>45728</v>
      </c>
      <c r="H39">
        <v>499000</v>
      </c>
      <c r="I39">
        <v>599491.38</v>
      </c>
      <c r="J39">
        <v>100</v>
      </c>
      <c r="K39">
        <v>124</v>
      </c>
      <c r="L39">
        <v>100491.38</v>
      </c>
      <c r="M39">
        <v>20.13855310621243</v>
      </c>
      <c r="N39">
        <v>24</v>
      </c>
      <c r="O39">
        <v>24</v>
      </c>
      <c r="P39" t="b">
        <v>1</v>
      </c>
      <c r="Q39" s="7">
        <v>45597</v>
      </c>
    </row>
    <row r="40" spans="1:17">
      <c r="A40">
        <v>38</v>
      </c>
      <c r="B40" t="s">
        <v>66</v>
      </c>
      <c r="C40" t="s">
        <v>30</v>
      </c>
      <c r="D40" t="s">
        <v>34</v>
      </c>
      <c r="E40" t="s">
        <v>20</v>
      </c>
      <c r="F40" s="7">
        <v>45846</v>
      </c>
      <c r="G40" s="7">
        <v>46035</v>
      </c>
      <c r="H40">
        <v>873000</v>
      </c>
      <c r="I40">
        <v>928304.6899999999</v>
      </c>
      <c r="J40">
        <v>173</v>
      </c>
      <c r="K40">
        <v>189</v>
      </c>
      <c r="L40">
        <v>55304.68999999994</v>
      </c>
      <c r="M40">
        <v>6.335016036655206</v>
      </c>
      <c r="N40">
        <v>16</v>
      </c>
      <c r="O40">
        <v>9.248554913294797</v>
      </c>
      <c r="P40" t="b">
        <v>1</v>
      </c>
      <c r="Q40" s="7">
        <v>45839</v>
      </c>
    </row>
    <row r="41" spans="1:17">
      <c r="A41">
        <v>39</v>
      </c>
      <c r="B41" t="s">
        <v>66</v>
      </c>
      <c r="C41" t="s">
        <v>30</v>
      </c>
      <c r="D41" t="s">
        <v>34</v>
      </c>
      <c r="E41" t="s">
        <v>24</v>
      </c>
      <c r="F41" s="7">
        <v>45741</v>
      </c>
      <c r="G41" s="7">
        <v>45864</v>
      </c>
      <c r="H41">
        <v>538000</v>
      </c>
      <c r="I41">
        <v>540434.1800000001</v>
      </c>
      <c r="J41">
        <v>123</v>
      </c>
      <c r="K41">
        <v>123</v>
      </c>
      <c r="L41">
        <v>2434.180000000051</v>
      </c>
      <c r="M41">
        <v>0.4524498141264036</v>
      </c>
      <c r="N41">
        <v>0</v>
      </c>
      <c r="O41">
        <v>0</v>
      </c>
      <c r="P41" t="b">
        <v>1</v>
      </c>
      <c r="Q41" s="7">
        <v>45717</v>
      </c>
    </row>
    <row r="42" spans="1:17">
      <c r="A42">
        <v>40</v>
      </c>
      <c r="B42" t="s">
        <v>66</v>
      </c>
      <c r="C42" t="s">
        <v>30</v>
      </c>
      <c r="D42" t="s">
        <v>34</v>
      </c>
      <c r="E42" t="s">
        <v>22</v>
      </c>
      <c r="F42" s="7">
        <v>45871</v>
      </c>
      <c r="G42" s="7">
        <v>45904</v>
      </c>
      <c r="H42">
        <v>1194000</v>
      </c>
      <c r="I42">
        <v>1330366.23</v>
      </c>
      <c r="J42">
        <v>26</v>
      </c>
      <c r="K42">
        <v>33</v>
      </c>
      <c r="L42">
        <v>136366.23</v>
      </c>
      <c r="M42">
        <v>11.42095728643216</v>
      </c>
      <c r="N42">
        <v>7</v>
      </c>
      <c r="O42">
        <v>26.92307692307692</v>
      </c>
      <c r="P42" t="b">
        <v>1</v>
      </c>
      <c r="Q42" s="7">
        <v>45870</v>
      </c>
    </row>
    <row r="43" spans="1:17">
      <c r="A43">
        <v>41</v>
      </c>
      <c r="B43" t="s">
        <v>66</v>
      </c>
      <c r="C43" t="s">
        <v>30</v>
      </c>
      <c r="D43" t="s">
        <v>34</v>
      </c>
      <c r="E43" t="s">
        <v>23</v>
      </c>
      <c r="F43" s="7">
        <v>45800</v>
      </c>
      <c r="G43" s="7">
        <v>45949</v>
      </c>
      <c r="H43">
        <v>1966000</v>
      </c>
      <c r="I43">
        <v>1907933.5</v>
      </c>
      <c r="J43">
        <v>149</v>
      </c>
      <c r="K43">
        <v>149</v>
      </c>
      <c r="L43">
        <v>-58066.5</v>
      </c>
      <c r="M43">
        <v>-2.95353509664293</v>
      </c>
      <c r="N43">
        <v>0</v>
      </c>
      <c r="O43">
        <v>0</v>
      </c>
      <c r="P43" t="b">
        <v>0</v>
      </c>
      <c r="Q43" s="7">
        <v>45778</v>
      </c>
    </row>
    <row r="44" spans="1:17">
      <c r="A44">
        <v>42</v>
      </c>
      <c r="B44" t="s">
        <v>66</v>
      </c>
      <c r="C44" t="s">
        <v>30</v>
      </c>
      <c r="D44" t="s">
        <v>34</v>
      </c>
      <c r="E44" t="s">
        <v>21</v>
      </c>
      <c r="F44" s="7">
        <v>45357</v>
      </c>
      <c r="G44" s="7">
        <v>45492</v>
      </c>
      <c r="H44">
        <v>223000</v>
      </c>
      <c r="I44">
        <v>223373.11</v>
      </c>
      <c r="J44">
        <v>127</v>
      </c>
      <c r="K44">
        <v>135</v>
      </c>
      <c r="L44">
        <v>373.109999999986</v>
      </c>
      <c r="M44">
        <v>0.1673139013452852</v>
      </c>
      <c r="N44">
        <v>8</v>
      </c>
      <c r="O44">
        <v>6.299212598425196</v>
      </c>
      <c r="P44" t="b">
        <v>1</v>
      </c>
      <c r="Q44" s="7">
        <v>45352</v>
      </c>
    </row>
    <row r="45" spans="1:17">
      <c r="A45">
        <v>43</v>
      </c>
      <c r="B45" t="s">
        <v>45</v>
      </c>
      <c r="C45" t="s">
        <v>29</v>
      </c>
      <c r="D45" t="s">
        <v>34</v>
      </c>
      <c r="E45" t="s">
        <v>23</v>
      </c>
      <c r="F45" s="7">
        <v>45869</v>
      </c>
      <c r="G45" s="7">
        <v>45957</v>
      </c>
      <c r="H45">
        <v>881000</v>
      </c>
      <c r="I45">
        <v>876847.73</v>
      </c>
      <c r="J45">
        <v>88</v>
      </c>
      <c r="K45">
        <v>88</v>
      </c>
      <c r="L45">
        <v>-4152.270000000019</v>
      </c>
      <c r="M45">
        <v>-0.4713132803632257</v>
      </c>
      <c r="N45">
        <v>0</v>
      </c>
      <c r="O45">
        <v>0</v>
      </c>
      <c r="P45" t="b">
        <v>0</v>
      </c>
      <c r="Q45" s="7">
        <v>45839</v>
      </c>
    </row>
    <row r="46" spans="1:17">
      <c r="A46">
        <v>44</v>
      </c>
      <c r="B46" t="s">
        <v>45</v>
      </c>
      <c r="C46" t="s">
        <v>29</v>
      </c>
      <c r="D46" t="s">
        <v>34</v>
      </c>
      <c r="E46" t="s">
        <v>19</v>
      </c>
      <c r="F46" s="7">
        <v>45564</v>
      </c>
      <c r="G46" s="7">
        <v>45663</v>
      </c>
      <c r="H46">
        <v>2279000</v>
      </c>
      <c r="I46">
        <v>2728325.77</v>
      </c>
      <c r="J46">
        <v>67</v>
      </c>
      <c r="K46">
        <v>99</v>
      </c>
      <c r="L46">
        <v>449325.77</v>
      </c>
      <c r="M46">
        <v>19.71591794646775</v>
      </c>
      <c r="N46">
        <v>32</v>
      </c>
      <c r="O46">
        <v>47.76119402985074</v>
      </c>
      <c r="P46" t="b">
        <v>1</v>
      </c>
      <c r="Q46" s="7">
        <v>45536</v>
      </c>
    </row>
    <row r="47" spans="1:17">
      <c r="A47">
        <v>45</v>
      </c>
      <c r="B47" t="s">
        <v>45</v>
      </c>
      <c r="C47" t="s">
        <v>29</v>
      </c>
      <c r="D47" t="s">
        <v>34</v>
      </c>
      <c r="E47" t="s">
        <v>18</v>
      </c>
      <c r="F47" s="7">
        <v>45820</v>
      </c>
      <c r="G47" s="7">
        <v>46016</v>
      </c>
      <c r="H47">
        <v>2586000</v>
      </c>
      <c r="I47">
        <v>3531156.24</v>
      </c>
      <c r="J47">
        <v>140</v>
      </c>
      <c r="K47">
        <v>196</v>
      </c>
      <c r="L47">
        <v>945156.2400000002</v>
      </c>
      <c r="M47">
        <v>36.54896519721579</v>
      </c>
      <c r="N47">
        <v>56</v>
      </c>
      <c r="O47">
        <v>40</v>
      </c>
      <c r="P47" t="b">
        <v>1</v>
      </c>
      <c r="Q47" s="7">
        <v>45809</v>
      </c>
    </row>
    <row r="48" spans="1:17">
      <c r="A48">
        <v>46</v>
      </c>
      <c r="B48" t="s">
        <v>45</v>
      </c>
      <c r="C48" t="s">
        <v>29</v>
      </c>
      <c r="D48" t="s">
        <v>34</v>
      </c>
      <c r="E48" t="s">
        <v>24</v>
      </c>
      <c r="F48" s="7">
        <v>45648</v>
      </c>
      <c r="G48" s="7">
        <v>45753</v>
      </c>
      <c r="H48">
        <v>341000</v>
      </c>
      <c r="I48">
        <v>383787.84</v>
      </c>
      <c r="J48">
        <v>98</v>
      </c>
      <c r="K48">
        <v>105</v>
      </c>
      <c r="L48">
        <v>42787.84000000003</v>
      </c>
      <c r="M48">
        <v>12.54775366568916</v>
      </c>
      <c r="N48">
        <v>7</v>
      </c>
      <c r="O48">
        <v>7.142857142857142</v>
      </c>
      <c r="P48" t="b">
        <v>1</v>
      </c>
      <c r="Q48" s="7">
        <v>45627</v>
      </c>
    </row>
    <row r="49" spans="1:17">
      <c r="A49">
        <v>47</v>
      </c>
      <c r="B49" t="s">
        <v>45</v>
      </c>
      <c r="C49" t="s">
        <v>29</v>
      </c>
      <c r="D49" t="s">
        <v>34</v>
      </c>
      <c r="E49" t="s">
        <v>20</v>
      </c>
      <c r="F49" s="7">
        <v>45651</v>
      </c>
      <c r="G49" s="7">
        <v>45731</v>
      </c>
      <c r="H49">
        <v>951000</v>
      </c>
      <c r="I49">
        <v>1035333.29</v>
      </c>
      <c r="J49">
        <v>73</v>
      </c>
      <c r="K49">
        <v>80</v>
      </c>
      <c r="L49">
        <v>84333.29000000004</v>
      </c>
      <c r="M49">
        <v>8.867853838065198</v>
      </c>
      <c r="N49">
        <v>7</v>
      </c>
      <c r="O49">
        <v>9.58904109589041</v>
      </c>
      <c r="P49" t="b">
        <v>1</v>
      </c>
      <c r="Q49" s="7">
        <v>45627</v>
      </c>
    </row>
    <row r="50" spans="1:17">
      <c r="A50">
        <v>48</v>
      </c>
      <c r="B50" t="s">
        <v>52</v>
      </c>
      <c r="C50" t="s">
        <v>29</v>
      </c>
      <c r="D50" t="s">
        <v>35</v>
      </c>
      <c r="E50" t="s">
        <v>22</v>
      </c>
      <c r="F50" s="7">
        <v>45325</v>
      </c>
      <c r="G50" s="7">
        <v>45471</v>
      </c>
      <c r="H50">
        <v>231000</v>
      </c>
      <c r="I50">
        <v>235748.63</v>
      </c>
      <c r="J50">
        <v>134</v>
      </c>
      <c r="K50">
        <v>146</v>
      </c>
      <c r="L50">
        <v>4748.630000000005</v>
      </c>
      <c r="M50">
        <v>2.055683982683985</v>
      </c>
      <c r="N50">
        <v>12</v>
      </c>
      <c r="O50">
        <v>8.955223880597014</v>
      </c>
      <c r="P50" t="b">
        <v>1</v>
      </c>
      <c r="Q50" s="7">
        <v>45323</v>
      </c>
    </row>
    <row r="51" spans="1:17">
      <c r="A51">
        <v>49</v>
      </c>
      <c r="B51" t="s">
        <v>52</v>
      </c>
      <c r="C51" t="s">
        <v>29</v>
      </c>
      <c r="D51" t="s">
        <v>35</v>
      </c>
      <c r="E51" t="s">
        <v>20</v>
      </c>
      <c r="F51" s="7">
        <v>45788</v>
      </c>
      <c r="G51" s="7">
        <v>45932</v>
      </c>
      <c r="H51">
        <v>1218000</v>
      </c>
      <c r="I51">
        <v>1389263.85</v>
      </c>
      <c r="J51">
        <v>116</v>
      </c>
      <c r="K51">
        <v>144</v>
      </c>
      <c r="L51">
        <v>171263.8500000001</v>
      </c>
      <c r="M51">
        <v>14.06107142857144</v>
      </c>
      <c r="N51">
        <v>28</v>
      </c>
      <c r="O51">
        <v>24.13793103448276</v>
      </c>
      <c r="P51" t="b">
        <v>1</v>
      </c>
      <c r="Q51" s="7">
        <v>45778</v>
      </c>
    </row>
    <row r="52" spans="1:17">
      <c r="A52">
        <v>50</v>
      </c>
      <c r="B52" t="s">
        <v>52</v>
      </c>
      <c r="C52" t="s">
        <v>29</v>
      </c>
      <c r="D52" t="s">
        <v>35</v>
      </c>
      <c r="E52" t="s">
        <v>23</v>
      </c>
      <c r="F52" s="7">
        <v>45594</v>
      </c>
      <c r="G52" s="7">
        <v>45785</v>
      </c>
      <c r="H52">
        <v>949000</v>
      </c>
      <c r="I52">
        <v>956523.36</v>
      </c>
      <c r="J52">
        <v>177</v>
      </c>
      <c r="K52">
        <v>191</v>
      </c>
      <c r="L52">
        <v>7523.359999999986</v>
      </c>
      <c r="M52">
        <v>0.7927671232876697</v>
      </c>
      <c r="N52">
        <v>14</v>
      </c>
      <c r="O52">
        <v>7.909604519774012</v>
      </c>
      <c r="P52" t="b">
        <v>1</v>
      </c>
      <c r="Q52" s="7">
        <v>45566</v>
      </c>
    </row>
    <row r="53" spans="1:17">
      <c r="A53">
        <v>51</v>
      </c>
      <c r="B53" t="s">
        <v>52</v>
      </c>
      <c r="C53" t="s">
        <v>29</v>
      </c>
      <c r="D53" t="s">
        <v>35</v>
      </c>
      <c r="E53" t="s">
        <v>19</v>
      </c>
      <c r="F53" s="7">
        <v>45677</v>
      </c>
      <c r="G53" s="7">
        <v>45714</v>
      </c>
      <c r="H53">
        <v>1478000</v>
      </c>
      <c r="I53">
        <v>1802033.02</v>
      </c>
      <c r="J53">
        <v>31</v>
      </c>
      <c r="K53">
        <v>37</v>
      </c>
      <c r="L53">
        <v>324033.02</v>
      </c>
      <c r="M53">
        <v>21.92374966170501</v>
      </c>
      <c r="N53">
        <v>6</v>
      </c>
      <c r="O53">
        <v>19.35483870967742</v>
      </c>
      <c r="P53" t="b">
        <v>1</v>
      </c>
      <c r="Q53" s="7">
        <v>45658</v>
      </c>
    </row>
    <row r="54" spans="1:17">
      <c r="A54">
        <v>52</v>
      </c>
      <c r="B54" t="s">
        <v>67</v>
      </c>
      <c r="C54" t="s">
        <v>32</v>
      </c>
      <c r="D54" t="s">
        <v>34</v>
      </c>
      <c r="E54" t="s">
        <v>18</v>
      </c>
      <c r="F54" s="7">
        <v>45323</v>
      </c>
      <c r="G54" s="7">
        <v>45374</v>
      </c>
      <c r="H54">
        <v>2196000</v>
      </c>
      <c r="I54">
        <v>2291438.52</v>
      </c>
      <c r="J54">
        <v>41</v>
      </c>
      <c r="K54">
        <v>51</v>
      </c>
      <c r="L54">
        <v>95438.52000000002</v>
      </c>
      <c r="M54">
        <v>4.346016393442624</v>
      </c>
      <c r="N54">
        <v>10</v>
      </c>
      <c r="O54">
        <v>24.39024390243902</v>
      </c>
      <c r="P54" t="b">
        <v>1</v>
      </c>
      <c r="Q54" s="7">
        <v>45323</v>
      </c>
    </row>
    <row r="55" spans="1:17">
      <c r="A55">
        <v>53</v>
      </c>
      <c r="B55" t="s">
        <v>67</v>
      </c>
      <c r="C55" t="s">
        <v>32</v>
      </c>
      <c r="D55" t="s">
        <v>34</v>
      </c>
      <c r="E55" t="s">
        <v>21</v>
      </c>
      <c r="F55" s="7">
        <v>45484</v>
      </c>
      <c r="G55" s="7">
        <v>45671</v>
      </c>
      <c r="H55">
        <v>2205000</v>
      </c>
      <c r="I55">
        <v>2330619.31</v>
      </c>
      <c r="J55">
        <v>155</v>
      </c>
      <c r="K55">
        <v>187</v>
      </c>
      <c r="L55">
        <v>125619.3100000001</v>
      </c>
      <c r="M55">
        <v>5.697020861678007</v>
      </c>
      <c r="N55">
        <v>32</v>
      </c>
      <c r="O55">
        <v>20.64516129032258</v>
      </c>
      <c r="P55" t="b">
        <v>1</v>
      </c>
      <c r="Q55" s="7">
        <v>45474</v>
      </c>
    </row>
    <row r="56" spans="1:17">
      <c r="A56">
        <v>54</v>
      </c>
      <c r="B56" t="s">
        <v>67</v>
      </c>
      <c r="C56" t="s">
        <v>32</v>
      </c>
      <c r="D56" t="s">
        <v>34</v>
      </c>
      <c r="E56" t="s">
        <v>19</v>
      </c>
      <c r="F56" s="7">
        <v>45759</v>
      </c>
      <c r="G56" s="7">
        <v>45899</v>
      </c>
      <c r="H56">
        <v>2120000</v>
      </c>
      <c r="I56">
        <v>2352891.01</v>
      </c>
      <c r="J56">
        <v>114</v>
      </c>
      <c r="K56">
        <v>140</v>
      </c>
      <c r="L56">
        <v>232891.0099999998</v>
      </c>
      <c r="M56">
        <v>10.98542499999999</v>
      </c>
      <c r="N56">
        <v>26</v>
      </c>
      <c r="O56">
        <v>22.80701754385965</v>
      </c>
      <c r="P56" t="b">
        <v>1</v>
      </c>
      <c r="Q56" s="7">
        <v>45748</v>
      </c>
    </row>
    <row r="57" spans="1:17">
      <c r="A57">
        <v>55</v>
      </c>
      <c r="B57" t="s">
        <v>67</v>
      </c>
      <c r="C57" t="s">
        <v>32</v>
      </c>
      <c r="D57" t="s">
        <v>34</v>
      </c>
      <c r="E57" t="s">
        <v>23</v>
      </c>
      <c r="F57" s="7">
        <v>45872</v>
      </c>
      <c r="G57" s="7">
        <v>45919</v>
      </c>
      <c r="H57">
        <v>1968000</v>
      </c>
      <c r="I57">
        <v>2107949.08</v>
      </c>
      <c r="J57">
        <v>45</v>
      </c>
      <c r="K57">
        <v>47</v>
      </c>
      <c r="L57">
        <v>139949.0800000001</v>
      </c>
      <c r="M57">
        <v>7.111233739837402</v>
      </c>
      <c r="N57">
        <v>2</v>
      </c>
      <c r="O57">
        <v>4.444444444444445</v>
      </c>
      <c r="P57" t="b">
        <v>1</v>
      </c>
      <c r="Q57" s="7">
        <v>45870</v>
      </c>
    </row>
    <row r="58" spans="1:17">
      <c r="A58">
        <v>56</v>
      </c>
      <c r="B58" t="s">
        <v>67</v>
      </c>
      <c r="C58" t="s">
        <v>32</v>
      </c>
      <c r="D58" t="s">
        <v>34</v>
      </c>
      <c r="E58" t="s">
        <v>22</v>
      </c>
      <c r="F58" s="7">
        <v>45569</v>
      </c>
      <c r="G58" s="7">
        <v>45728</v>
      </c>
      <c r="H58">
        <v>2255000</v>
      </c>
      <c r="I58">
        <v>2314066.35</v>
      </c>
      <c r="J58">
        <v>154</v>
      </c>
      <c r="K58">
        <v>159</v>
      </c>
      <c r="L58">
        <v>59066.35000000009</v>
      </c>
      <c r="M58">
        <v>2.619350332594239</v>
      </c>
      <c r="N58">
        <v>5</v>
      </c>
      <c r="O58">
        <v>3.246753246753246</v>
      </c>
      <c r="P58" t="b">
        <v>1</v>
      </c>
      <c r="Q58" s="7">
        <v>45566</v>
      </c>
    </row>
    <row r="59" spans="1:17">
      <c r="A59">
        <v>57</v>
      </c>
      <c r="B59" t="s">
        <v>67</v>
      </c>
      <c r="C59" t="s">
        <v>32</v>
      </c>
      <c r="D59" t="s">
        <v>34</v>
      </c>
      <c r="E59" t="s">
        <v>20</v>
      </c>
      <c r="F59" s="7">
        <v>45391</v>
      </c>
      <c r="G59" s="7">
        <v>45462</v>
      </c>
      <c r="H59">
        <v>784000</v>
      </c>
      <c r="I59">
        <v>747636.16</v>
      </c>
      <c r="J59">
        <v>66</v>
      </c>
      <c r="K59">
        <v>71</v>
      </c>
      <c r="L59">
        <v>-36363.83999999997</v>
      </c>
      <c r="M59">
        <v>-4.638244897959179</v>
      </c>
      <c r="N59">
        <v>5</v>
      </c>
      <c r="O59">
        <v>7.575757575757576</v>
      </c>
      <c r="P59" t="b">
        <v>0</v>
      </c>
      <c r="Q59" s="7">
        <v>45383</v>
      </c>
    </row>
    <row r="60" spans="1:17">
      <c r="A60">
        <v>58</v>
      </c>
      <c r="B60" t="s">
        <v>48</v>
      </c>
      <c r="C60" t="s">
        <v>28</v>
      </c>
      <c r="D60" t="s">
        <v>34</v>
      </c>
      <c r="E60" t="s">
        <v>22</v>
      </c>
      <c r="F60" s="7">
        <v>45703</v>
      </c>
      <c r="G60" s="7">
        <v>45757</v>
      </c>
      <c r="H60">
        <v>1098000</v>
      </c>
      <c r="I60">
        <v>1181369.08</v>
      </c>
      <c r="J60">
        <v>53</v>
      </c>
      <c r="K60">
        <v>54</v>
      </c>
      <c r="L60">
        <v>83369.08000000007</v>
      </c>
      <c r="M60">
        <v>7.592812386156655</v>
      </c>
      <c r="N60">
        <v>1</v>
      </c>
      <c r="O60">
        <v>1.886792452830189</v>
      </c>
      <c r="P60" t="b">
        <v>1</v>
      </c>
      <c r="Q60" s="7">
        <v>45689</v>
      </c>
    </row>
    <row r="61" spans="1:17">
      <c r="A61">
        <v>59</v>
      </c>
      <c r="B61" t="s">
        <v>48</v>
      </c>
      <c r="C61" t="s">
        <v>28</v>
      </c>
      <c r="D61" t="s">
        <v>34</v>
      </c>
      <c r="E61" t="s">
        <v>18</v>
      </c>
      <c r="F61" s="7">
        <v>45568</v>
      </c>
      <c r="G61" s="7">
        <v>45800</v>
      </c>
      <c r="H61">
        <v>1803000</v>
      </c>
      <c r="I61">
        <v>2293782.3</v>
      </c>
      <c r="J61">
        <v>167</v>
      </c>
      <c r="K61">
        <v>232</v>
      </c>
      <c r="L61">
        <v>490782.2999999998</v>
      </c>
      <c r="M61">
        <v>27.22031613976704</v>
      </c>
      <c r="N61">
        <v>65</v>
      </c>
      <c r="O61">
        <v>38.92215568862276</v>
      </c>
      <c r="P61" t="b">
        <v>1</v>
      </c>
      <c r="Q61" s="7">
        <v>45566</v>
      </c>
    </row>
    <row r="62" spans="1:17">
      <c r="A62">
        <v>60</v>
      </c>
      <c r="B62" t="s">
        <v>48</v>
      </c>
      <c r="C62" t="s">
        <v>28</v>
      </c>
      <c r="D62" t="s">
        <v>34</v>
      </c>
      <c r="E62" t="s">
        <v>19</v>
      </c>
      <c r="F62" s="7">
        <v>45801</v>
      </c>
      <c r="G62" s="7">
        <v>46021</v>
      </c>
      <c r="H62">
        <v>1475000</v>
      </c>
      <c r="I62">
        <v>1757275.11</v>
      </c>
      <c r="J62">
        <v>173</v>
      </c>
      <c r="K62">
        <v>220</v>
      </c>
      <c r="L62">
        <v>282275.1100000001</v>
      </c>
      <c r="M62">
        <v>19.13729559322035</v>
      </c>
      <c r="N62">
        <v>47</v>
      </c>
      <c r="O62">
        <v>27.16763005780346</v>
      </c>
      <c r="P62" t="b">
        <v>1</v>
      </c>
      <c r="Q62" s="7">
        <v>45778</v>
      </c>
    </row>
    <row r="63" spans="1:17">
      <c r="A63">
        <v>61</v>
      </c>
      <c r="B63" t="s">
        <v>48</v>
      </c>
      <c r="C63" t="s">
        <v>28</v>
      </c>
      <c r="D63" t="s">
        <v>34</v>
      </c>
      <c r="E63" t="s">
        <v>24</v>
      </c>
      <c r="F63" s="7">
        <v>45398</v>
      </c>
      <c r="G63" s="7">
        <v>45509</v>
      </c>
      <c r="H63">
        <v>1518000</v>
      </c>
      <c r="I63">
        <v>1496779.62</v>
      </c>
      <c r="J63">
        <v>107</v>
      </c>
      <c r="K63">
        <v>111</v>
      </c>
      <c r="L63">
        <v>-21220.37999999989</v>
      </c>
      <c r="M63">
        <v>-1.397916996047423</v>
      </c>
      <c r="N63">
        <v>4</v>
      </c>
      <c r="O63">
        <v>3.738317757009345</v>
      </c>
      <c r="P63" t="b">
        <v>0</v>
      </c>
      <c r="Q63" s="7">
        <v>45383</v>
      </c>
    </row>
    <row r="64" spans="1:17">
      <c r="A64">
        <v>62</v>
      </c>
      <c r="B64" t="s">
        <v>48</v>
      </c>
      <c r="C64" t="s">
        <v>28</v>
      </c>
      <c r="D64" t="s">
        <v>34</v>
      </c>
      <c r="E64" t="s">
        <v>23</v>
      </c>
      <c r="F64" s="7">
        <v>45413</v>
      </c>
      <c r="G64" s="7">
        <v>45448</v>
      </c>
      <c r="H64">
        <v>1958000</v>
      </c>
      <c r="I64">
        <v>2126588.83</v>
      </c>
      <c r="J64">
        <v>30</v>
      </c>
      <c r="K64">
        <v>35</v>
      </c>
      <c r="L64">
        <v>168588.8300000001</v>
      </c>
      <c r="M64">
        <v>8.610256894790606</v>
      </c>
      <c r="N64">
        <v>5</v>
      </c>
      <c r="O64">
        <v>16.66666666666666</v>
      </c>
      <c r="P64" t="b">
        <v>1</v>
      </c>
      <c r="Q64" s="7">
        <v>45413</v>
      </c>
    </row>
    <row r="65" spans="1:17">
      <c r="A65">
        <v>63</v>
      </c>
      <c r="B65" t="s">
        <v>46</v>
      </c>
      <c r="C65" t="s">
        <v>31</v>
      </c>
      <c r="D65" t="s">
        <v>35</v>
      </c>
      <c r="E65" t="s">
        <v>21</v>
      </c>
      <c r="F65" s="7">
        <v>45772</v>
      </c>
      <c r="G65" s="7">
        <v>45840</v>
      </c>
      <c r="H65">
        <v>2500000</v>
      </c>
      <c r="I65">
        <v>3035294.42</v>
      </c>
      <c r="J65">
        <v>51</v>
      </c>
      <c r="K65">
        <v>68</v>
      </c>
      <c r="L65">
        <v>535294.4199999999</v>
      </c>
      <c r="M65">
        <v>21.41177679999999</v>
      </c>
      <c r="N65">
        <v>17</v>
      </c>
      <c r="O65">
        <v>33.33333333333333</v>
      </c>
      <c r="P65" t="b">
        <v>1</v>
      </c>
      <c r="Q65" s="7">
        <v>45748</v>
      </c>
    </row>
    <row r="66" spans="1:17">
      <c r="A66">
        <v>64</v>
      </c>
      <c r="B66" t="s">
        <v>46</v>
      </c>
      <c r="C66" t="s">
        <v>31</v>
      </c>
      <c r="D66" t="s">
        <v>35</v>
      </c>
      <c r="E66" t="s">
        <v>19</v>
      </c>
      <c r="F66" s="7">
        <v>45725</v>
      </c>
      <c r="G66" s="7">
        <v>45888</v>
      </c>
      <c r="H66">
        <v>2591000</v>
      </c>
      <c r="I66">
        <v>2735406.17</v>
      </c>
      <c r="J66">
        <v>148</v>
      </c>
      <c r="K66">
        <v>163</v>
      </c>
      <c r="L66">
        <v>144406.1699999999</v>
      </c>
      <c r="M66">
        <v>5.573375916634501</v>
      </c>
      <c r="N66">
        <v>15</v>
      </c>
      <c r="O66">
        <v>10.13513513513514</v>
      </c>
      <c r="P66" t="b">
        <v>1</v>
      </c>
      <c r="Q66" s="7">
        <v>45717</v>
      </c>
    </row>
    <row r="67" spans="1:17">
      <c r="A67">
        <v>65</v>
      </c>
      <c r="B67" t="s">
        <v>46</v>
      </c>
      <c r="C67" t="s">
        <v>31</v>
      </c>
      <c r="D67" t="s">
        <v>35</v>
      </c>
      <c r="E67" t="s">
        <v>20</v>
      </c>
      <c r="F67" s="7">
        <v>45349</v>
      </c>
      <c r="G67" s="7">
        <v>45386</v>
      </c>
      <c r="H67">
        <v>1607000</v>
      </c>
      <c r="I67">
        <v>1838983.67</v>
      </c>
      <c r="J67">
        <v>32</v>
      </c>
      <c r="K67">
        <v>37</v>
      </c>
      <c r="L67">
        <v>231983.6699999999</v>
      </c>
      <c r="M67">
        <v>14.4358226509023</v>
      </c>
      <c r="N67">
        <v>5</v>
      </c>
      <c r="O67">
        <v>15.625</v>
      </c>
      <c r="P67" t="b">
        <v>1</v>
      </c>
      <c r="Q67" s="7">
        <v>45323</v>
      </c>
    </row>
    <row r="68" spans="1:17">
      <c r="A68">
        <v>66</v>
      </c>
      <c r="B68" t="s">
        <v>46</v>
      </c>
      <c r="C68" t="s">
        <v>31</v>
      </c>
      <c r="D68" t="s">
        <v>35</v>
      </c>
      <c r="E68" t="s">
        <v>18</v>
      </c>
      <c r="F68" s="7">
        <v>45728</v>
      </c>
      <c r="G68" s="7">
        <v>45841</v>
      </c>
      <c r="H68">
        <v>199000</v>
      </c>
      <c r="I68">
        <v>202028.45</v>
      </c>
      <c r="J68">
        <v>113</v>
      </c>
      <c r="K68">
        <v>113</v>
      </c>
      <c r="L68">
        <v>3028.450000000012</v>
      </c>
      <c r="M68">
        <v>1.521834170854277</v>
      </c>
      <c r="N68">
        <v>0</v>
      </c>
      <c r="O68">
        <v>0</v>
      </c>
      <c r="P68" t="b">
        <v>1</v>
      </c>
      <c r="Q68" s="7">
        <v>45717</v>
      </c>
    </row>
    <row r="69" spans="1:17">
      <c r="A69">
        <v>67</v>
      </c>
      <c r="B69" t="s">
        <v>46</v>
      </c>
      <c r="C69" t="s">
        <v>31</v>
      </c>
      <c r="D69" t="s">
        <v>35</v>
      </c>
      <c r="E69" t="s">
        <v>24</v>
      </c>
      <c r="F69" s="7">
        <v>45771</v>
      </c>
      <c r="G69" s="7">
        <v>45975</v>
      </c>
      <c r="H69">
        <v>2028000</v>
      </c>
      <c r="I69">
        <v>2068576.07</v>
      </c>
      <c r="J69">
        <v>167</v>
      </c>
      <c r="K69">
        <v>204</v>
      </c>
      <c r="L69">
        <v>40576.07000000007</v>
      </c>
      <c r="M69">
        <v>2.00079240631164</v>
      </c>
      <c r="N69">
        <v>37</v>
      </c>
      <c r="O69">
        <v>22.15568862275449</v>
      </c>
      <c r="P69" t="b">
        <v>1</v>
      </c>
      <c r="Q69" s="7">
        <v>45748</v>
      </c>
    </row>
    <row r="70" spans="1:17">
      <c r="A70">
        <v>68</v>
      </c>
      <c r="B70" t="s">
        <v>46</v>
      </c>
      <c r="C70" t="s">
        <v>31</v>
      </c>
      <c r="D70" t="s">
        <v>35</v>
      </c>
      <c r="E70" t="s">
        <v>22</v>
      </c>
      <c r="F70" s="7">
        <v>45724</v>
      </c>
      <c r="G70" s="7">
        <v>45915</v>
      </c>
      <c r="H70">
        <v>516000</v>
      </c>
      <c r="I70">
        <v>512346.77</v>
      </c>
      <c r="J70">
        <v>169</v>
      </c>
      <c r="K70">
        <v>191</v>
      </c>
      <c r="L70">
        <v>-3653.229999999981</v>
      </c>
      <c r="M70">
        <v>-0.7079903100775158</v>
      </c>
      <c r="N70">
        <v>22</v>
      </c>
      <c r="O70">
        <v>13.01775147928994</v>
      </c>
      <c r="P70" t="b">
        <v>0</v>
      </c>
      <c r="Q70" s="7">
        <v>45717</v>
      </c>
    </row>
    <row r="71" spans="1:17">
      <c r="A71">
        <v>69</v>
      </c>
      <c r="B71" t="s">
        <v>46</v>
      </c>
      <c r="C71" t="s">
        <v>31</v>
      </c>
      <c r="D71" t="s">
        <v>35</v>
      </c>
      <c r="E71" t="s">
        <v>23</v>
      </c>
      <c r="F71" s="7">
        <v>45686</v>
      </c>
      <c r="G71" s="7">
        <v>45804</v>
      </c>
      <c r="H71">
        <v>392000</v>
      </c>
      <c r="I71">
        <v>419876.04</v>
      </c>
      <c r="J71">
        <v>100</v>
      </c>
      <c r="K71">
        <v>118</v>
      </c>
      <c r="L71">
        <v>27876.03999999998</v>
      </c>
      <c r="M71">
        <v>7.111234693877545</v>
      </c>
      <c r="N71">
        <v>18</v>
      </c>
      <c r="O71">
        <v>18</v>
      </c>
      <c r="P71" t="b">
        <v>1</v>
      </c>
      <c r="Q71" s="7">
        <v>45658</v>
      </c>
    </row>
    <row r="72" spans="1:17">
      <c r="A72">
        <v>70</v>
      </c>
      <c r="B72" t="s">
        <v>68</v>
      </c>
      <c r="C72" t="s">
        <v>29</v>
      </c>
      <c r="D72" t="s">
        <v>34</v>
      </c>
      <c r="E72" t="s">
        <v>18</v>
      </c>
      <c r="F72" s="7">
        <v>45479</v>
      </c>
      <c r="G72" s="7">
        <v>45550</v>
      </c>
      <c r="H72">
        <v>1715000</v>
      </c>
      <c r="I72">
        <v>1774412.37</v>
      </c>
      <c r="J72">
        <v>66</v>
      </c>
      <c r="K72">
        <v>71</v>
      </c>
      <c r="L72">
        <v>59412.37000000011</v>
      </c>
      <c r="M72">
        <v>3.464278134110794</v>
      </c>
      <c r="N72">
        <v>5</v>
      </c>
      <c r="O72">
        <v>7.575757575757576</v>
      </c>
      <c r="P72" t="b">
        <v>1</v>
      </c>
      <c r="Q72" s="7">
        <v>45474</v>
      </c>
    </row>
    <row r="73" spans="1:17">
      <c r="A73">
        <v>71</v>
      </c>
      <c r="B73" t="s">
        <v>68</v>
      </c>
      <c r="C73" t="s">
        <v>29</v>
      </c>
      <c r="D73" t="s">
        <v>34</v>
      </c>
      <c r="E73" t="s">
        <v>22</v>
      </c>
      <c r="F73" s="7">
        <v>45380</v>
      </c>
      <c r="G73" s="7">
        <v>45585</v>
      </c>
      <c r="H73">
        <v>561000</v>
      </c>
      <c r="I73">
        <v>586840.5600000001</v>
      </c>
      <c r="J73">
        <v>174</v>
      </c>
      <c r="K73">
        <v>205</v>
      </c>
      <c r="L73">
        <v>25840.56000000006</v>
      </c>
      <c r="M73">
        <v>4.606160427807496</v>
      </c>
      <c r="N73">
        <v>31</v>
      </c>
      <c r="O73">
        <v>17.81609195402299</v>
      </c>
      <c r="P73" t="b">
        <v>1</v>
      </c>
      <c r="Q73" s="7">
        <v>45352</v>
      </c>
    </row>
    <row r="74" spans="1:17">
      <c r="A74">
        <v>72</v>
      </c>
      <c r="B74" t="s">
        <v>68</v>
      </c>
      <c r="C74" t="s">
        <v>29</v>
      </c>
      <c r="D74" t="s">
        <v>34</v>
      </c>
      <c r="E74" t="s">
        <v>21</v>
      </c>
      <c r="F74" s="7">
        <v>45861</v>
      </c>
      <c r="G74" s="7">
        <v>45973</v>
      </c>
      <c r="H74">
        <v>1964000</v>
      </c>
      <c r="I74">
        <v>2245041.83</v>
      </c>
      <c r="J74">
        <v>84</v>
      </c>
      <c r="K74">
        <v>112</v>
      </c>
      <c r="L74">
        <v>281041.8300000001</v>
      </c>
      <c r="M74">
        <v>14.30966547861507</v>
      </c>
      <c r="N74">
        <v>28</v>
      </c>
      <c r="O74">
        <v>33.33333333333333</v>
      </c>
      <c r="P74" t="b">
        <v>1</v>
      </c>
      <c r="Q74" s="7">
        <v>45839</v>
      </c>
    </row>
    <row r="75" spans="1:17">
      <c r="A75">
        <v>73</v>
      </c>
      <c r="B75" t="s">
        <v>68</v>
      </c>
      <c r="C75" t="s">
        <v>29</v>
      </c>
      <c r="D75" t="s">
        <v>34</v>
      </c>
      <c r="E75" t="s">
        <v>20</v>
      </c>
      <c r="F75" s="7">
        <v>45760</v>
      </c>
      <c r="G75" s="7">
        <v>45858</v>
      </c>
      <c r="H75">
        <v>2445000</v>
      </c>
      <c r="I75">
        <v>2744025.27</v>
      </c>
      <c r="J75">
        <v>80</v>
      </c>
      <c r="K75">
        <v>98</v>
      </c>
      <c r="L75">
        <v>299025.27</v>
      </c>
      <c r="M75">
        <v>12.23007239263804</v>
      </c>
      <c r="N75">
        <v>18</v>
      </c>
      <c r="O75">
        <v>22.5</v>
      </c>
      <c r="P75" t="b">
        <v>1</v>
      </c>
      <c r="Q75" s="7">
        <v>45748</v>
      </c>
    </row>
    <row r="76" spans="1:17">
      <c r="A76">
        <v>74</v>
      </c>
      <c r="B76" t="s">
        <v>69</v>
      </c>
      <c r="C76" t="s">
        <v>30</v>
      </c>
      <c r="D76" t="s">
        <v>35</v>
      </c>
      <c r="E76" t="s">
        <v>20</v>
      </c>
      <c r="F76" s="7">
        <v>45618</v>
      </c>
      <c r="G76" s="7">
        <v>45674</v>
      </c>
      <c r="H76">
        <v>477000</v>
      </c>
      <c r="I76">
        <v>548071</v>
      </c>
      <c r="J76">
        <v>43</v>
      </c>
      <c r="K76">
        <v>56</v>
      </c>
      <c r="L76">
        <v>71071</v>
      </c>
      <c r="M76">
        <v>14.89958071278826</v>
      </c>
      <c r="N76">
        <v>13</v>
      </c>
      <c r="O76">
        <v>30.23255813953488</v>
      </c>
      <c r="P76" t="b">
        <v>1</v>
      </c>
      <c r="Q76" s="7">
        <v>45597</v>
      </c>
    </row>
    <row r="77" spans="1:17">
      <c r="A77">
        <v>75</v>
      </c>
      <c r="B77" t="s">
        <v>69</v>
      </c>
      <c r="C77" t="s">
        <v>30</v>
      </c>
      <c r="D77" t="s">
        <v>35</v>
      </c>
      <c r="E77" t="s">
        <v>21</v>
      </c>
      <c r="F77" s="7">
        <v>45564</v>
      </c>
      <c r="G77" s="7">
        <v>45603</v>
      </c>
      <c r="H77">
        <v>209000</v>
      </c>
      <c r="I77">
        <v>195920.29</v>
      </c>
      <c r="J77">
        <v>39</v>
      </c>
      <c r="K77">
        <v>39</v>
      </c>
      <c r="L77">
        <v>-13079.70999999999</v>
      </c>
      <c r="M77">
        <v>-6.258234449760762</v>
      </c>
      <c r="N77">
        <v>0</v>
      </c>
      <c r="O77">
        <v>0</v>
      </c>
      <c r="P77" t="b">
        <v>0</v>
      </c>
      <c r="Q77" s="7">
        <v>45536</v>
      </c>
    </row>
    <row r="78" spans="1:17">
      <c r="A78">
        <v>76</v>
      </c>
      <c r="B78" t="s">
        <v>69</v>
      </c>
      <c r="C78" t="s">
        <v>30</v>
      </c>
      <c r="D78" t="s">
        <v>35</v>
      </c>
      <c r="E78" t="s">
        <v>18</v>
      </c>
      <c r="F78" s="7">
        <v>45601</v>
      </c>
      <c r="G78" s="7">
        <v>45705</v>
      </c>
      <c r="H78">
        <v>2523000</v>
      </c>
      <c r="I78">
        <v>2695999.17</v>
      </c>
      <c r="J78">
        <v>96</v>
      </c>
      <c r="K78">
        <v>104</v>
      </c>
      <c r="L78">
        <v>172999.1699999999</v>
      </c>
      <c r="M78">
        <v>6.856883472057072</v>
      </c>
      <c r="N78">
        <v>8</v>
      </c>
      <c r="O78">
        <v>8.333333333333332</v>
      </c>
      <c r="P78" t="b">
        <v>1</v>
      </c>
      <c r="Q78" s="7">
        <v>45597</v>
      </c>
    </row>
    <row r="79" spans="1:17">
      <c r="A79">
        <v>77</v>
      </c>
      <c r="B79" t="s">
        <v>69</v>
      </c>
      <c r="C79" t="s">
        <v>30</v>
      </c>
      <c r="D79" t="s">
        <v>35</v>
      </c>
      <c r="E79" t="s">
        <v>24</v>
      </c>
      <c r="F79" s="7">
        <v>45760</v>
      </c>
      <c r="G79" s="7">
        <v>45899</v>
      </c>
      <c r="H79">
        <v>2402000</v>
      </c>
      <c r="I79">
        <v>2124556.58</v>
      </c>
      <c r="J79">
        <v>139</v>
      </c>
      <c r="K79">
        <v>139</v>
      </c>
      <c r="L79">
        <v>-277443.4199999999</v>
      </c>
      <c r="M79">
        <v>-11.55051706910907</v>
      </c>
      <c r="N79">
        <v>0</v>
      </c>
      <c r="O79">
        <v>0</v>
      </c>
      <c r="P79" t="b">
        <v>0</v>
      </c>
      <c r="Q79" s="7">
        <v>45748</v>
      </c>
    </row>
    <row r="80" spans="1:17">
      <c r="A80">
        <v>78</v>
      </c>
      <c r="B80" t="s">
        <v>69</v>
      </c>
      <c r="C80" t="s">
        <v>30</v>
      </c>
      <c r="D80" t="s">
        <v>35</v>
      </c>
      <c r="E80" t="s">
        <v>23</v>
      </c>
      <c r="F80" s="7">
        <v>45317</v>
      </c>
      <c r="G80" s="7">
        <v>45482</v>
      </c>
      <c r="H80">
        <v>286000</v>
      </c>
      <c r="I80">
        <v>306338.13</v>
      </c>
      <c r="J80">
        <v>161</v>
      </c>
      <c r="K80">
        <v>165</v>
      </c>
      <c r="L80">
        <v>20338.13</v>
      </c>
      <c r="M80">
        <v>7.111234265734268</v>
      </c>
      <c r="N80">
        <v>4</v>
      </c>
      <c r="O80">
        <v>2.484472049689441</v>
      </c>
      <c r="P80" t="b">
        <v>1</v>
      </c>
      <c r="Q80" s="7">
        <v>45292</v>
      </c>
    </row>
    <row r="81" spans="1:17">
      <c r="A81">
        <v>79</v>
      </c>
      <c r="B81" t="s">
        <v>69</v>
      </c>
      <c r="C81" t="s">
        <v>30</v>
      </c>
      <c r="D81" t="s">
        <v>35</v>
      </c>
      <c r="E81" t="s">
        <v>19</v>
      </c>
      <c r="F81" s="7">
        <v>45891</v>
      </c>
      <c r="G81" s="7">
        <v>46037</v>
      </c>
      <c r="H81">
        <v>437000</v>
      </c>
      <c r="I81">
        <v>468076.09</v>
      </c>
      <c r="J81">
        <v>128</v>
      </c>
      <c r="K81">
        <v>146</v>
      </c>
      <c r="L81">
        <v>31076.09000000003</v>
      </c>
      <c r="M81">
        <v>7.11123340961099</v>
      </c>
      <c r="N81">
        <v>18</v>
      </c>
      <c r="O81">
        <v>14.0625</v>
      </c>
      <c r="P81" t="b">
        <v>1</v>
      </c>
      <c r="Q81" s="7">
        <v>45870</v>
      </c>
    </row>
    <row r="82" spans="1:17">
      <c r="A82">
        <v>80</v>
      </c>
      <c r="B82" t="s">
        <v>70</v>
      </c>
      <c r="C82" t="s">
        <v>29</v>
      </c>
      <c r="D82" t="s">
        <v>34</v>
      </c>
      <c r="E82" t="s">
        <v>24</v>
      </c>
      <c r="F82" s="7">
        <v>45837</v>
      </c>
      <c r="G82" s="7">
        <v>45892</v>
      </c>
      <c r="H82">
        <v>2136000</v>
      </c>
      <c r="I82">
        <v>2191660.66</v>
      </c>
      <c r="J82">
        <v>55</v>
      </c>
      <c r="K82">
        <v>55</v>
      </c>
      <c r="L82">
        <v>55660.66000000015</v>
      </c>
      <c r="M82">
        <v>2.605836142322104</v>
      </c>
      <c r="N82">
        <v>0</v>
      </c>
      <c r="O82">
        <v>0</v>
      </c>
      <c r="P82" t="b">
        <v>1</v>
      </c>
      <c r="Q82" s="7">
        <v>45809</v>
      </c>
    </row>
    <row r="83" spans="1:17">
      <c r="A83">
        <v>81</v>
      </c>
      <c r="B83" t="s">
        <v>70</v>
      </c>
      <c r="C83" t="s">
        <v>29</v>
      </c>
      <c r="D83" t="s">
        <v>34</v>
      </c>
      <c r="E83" t="s">
        <v>19</v>
      </c>
      <c r="F83" s="7">
        <v>45295</v>
      </c>
      <c r="G83" s="7">
        <v>45328</v>
      </c>
      <c r="H83">
        <v>267000</v>
      </c>
      <c r="I83">
        <v>287317.43</v>
      </c>
      <c r="J83">
        <v>25</v>
      </c>
      <c r="K83">
        <v>33</v>
      </c>
      <c r="L83">
        <v>20317.42999999999</v>
      </c>
      <c r="M83">
        <v>7.609524344569286</v>
      </c>
      <c r="N83">
        <v>8</v>
      </c>
      <c r="O83">
        <v>32</v>
      </c>
      <c r="P83" t="b">
        <v>1</v>
      </c>
      <c r="Q83" s="7">
        <v>45292</v>
      </c>
    </row>
    <row r="84" spans="1:17">
      <c r="A84">
        <v>82</v>
      </c>
      <c r="B84" t="s">
        <v>70</v>
      </c>
      <c r="C84" t="s">
        <v>29</v>
      </c>
      <c r="D84" t="s">
        <v>34</v>
      </c>
      <c r="E84" t="s">
        <v>21</v>
      </c>
      <c r="F84" s="7">
        <v>45438</v>
      </c>
      <c r="G84" s="7">
        <v>45587</v>
      </c>
      <c r="H84">
        <v>2551000</v>
      </c>
      <c r="I84">
        <v>2253347.26</v>
      </c>
      <c r="J84">
        <v>149</v>
      </c>
      <c r="K84">
        <v>149</v>
      </c>
      <c r="L84">
        <v>-297652.7400000002</v>
      </c>
      <c r="M84">
        <v>-11.66808075264603</v>
      </c>
      <c r="N84">
        <v>0</v>
      </c>
      <c r="O84">
        <v>0</v>
      </c>
      <c r="P84" t="b">
        <v>0</v>
      </c>
      <c r="Q84" s="7">
        <v>45413</v>
      </c>
    </row>
    <row r="85" spans="1:17">
      <c r="A85">
        <v>83</v>
      </c>
      <c r="B85" t="s">
        <v>70</v>
      </c>
      <c r="C85" t="s">
        <v>29</v>
      </c>
      <c r="D85" t="s">
        <v>34</v>
      </c>
      <c r="E85" t="s">
        <v>23</v>
      </c>
      <c r="F85" s="7">
        <v>45772</v>
      </c>
      <c r="G85" s="7">
        <v>45906</v>
      </c>
      <c r="H85">
        <v>318000</v>
      </c>
      <c r="I85">
        <v>329157.72</v>
      </c>
      <c r="J85">
        <v>128</v>
      </c>
      <c r="K85">
        <v>134</v>
      </c>
      <c r="L85">
        <v>11157.71999999997</v>
      </c>
      <c r="M85">
        <v>3.508716981132066</v>
      </c>
      <c r="N85">
        <v>6</v>
      </c>
      <c r="O85">
        <v>4.6875</v>
      </c>
      <c r="P85" t="b">
        <v>1</v>
      </c>
      <c r="Q85" s="7">
        <v>45748</v>
      </c>
    </row>
    <row r="86" spans="1:17">
      <c r="A86">
        <v>84</v>
      </c>
      <c r="B86" t="s">
        <v>70</v>
      </c>
      <c r="C86" t="s">
        <v>29</v>
      </c>
      <c r="D86" t="s">
        <v>34</v>
      </c>
      <c r="E86" t="s">
        <v>22</v>
      </c>
      <c r="F86" s="7">
        <v>45360</v>
      </c>
      <c r="G86" s="7">
        <v>45522</v>
      </c>
      <c r="H86">
        <v>2227000</v>
      </c>
      <c r="I86">
        <v>2487938.45</v>
      </c>
      <c r="J86">
        <v>133</v>
      </c>
      <c r="K86">
        <v>162</v>
      </c>
      <c r="L86">
        <v>260938.4500000002</v>
      </c>
      <c r="M86">
        <v>11.71703861697352</v>
      </c>
      <c r="N86">
        <v>29</v>
      </c>
      <c r="O86">
        <v>21.80451127819549</v>
      </c>
      <c r="P86" t="b">
        <v>1</v>
      </c>
      <c r="Q86" s="7">
        <v>45352</v>
      </c>
    </row>
    <row r="87" spans="1:17">
      <c r="A87">
        <v>85</v>
      </c>
      <c r="B87" t="s">
        <v>70</v>
      </c>
      <c r="C87" t="s">
        <v>29</v>
      </c>
      <c r="D87" t="s">
        <v>34</v>
      </c>
      <c r="E87" t="s">
        <v>18</v>
      </c>
      <c r="F87" s="7">
        <v>45594</v>
      </c>
      <c r="G87" s="7">
        <v>45773</v>
      </c>
      <c r="H87">
        <v>482000</v>
      </c>
      <c r="I87">
        <v>574998.53</v>
      </c>
      <c r="J87">
        <v>133</v>
      </c>
      <c r="K87">
        <v>179</v>
      </c>
      <c r="L87">
        <v>92998.53000000003</v>
      </c>
      <c r="M87">
        <v>19.29430082987552</v>
      </c>
      <c r="N87">
        <v>46</v>
      </c>
      <c r="O87">
        <v>34.58646616541353</v>
      </c>
      <c r="P87" t="b">
        <v>1</v>
      </c>
      <c r="Q87" s="7">
        <v>45566</v>
      </c>
    </row>
    <row r="88" spans="1:17">
      <c r="A88">
        <v>86</v>
      </c>
      <c r="B88" t="s">
        <v>71</v>
      </c>
      <c r="C88" t="s">
        <v>30</v>
      </c>
      <c r="D88" t="s">
        <v>35</v>
      </c>
      <c r="E88" t="s">
        <v>18</v>
      </c>
      <c r="F88" s="7">
        <v>45741</v>
      </c>
      <c r="G88" s="7">
        <v>45825</v>
      </c>
      <c r="H88">
        <v>218000</v>
      </c>
      <c r="I88">
        <v>269900.37</v>
      </c>
      <c r="J88">
        <v>66</v>
      </c>
      <c r="K88">
        <v>84</v>
      </c>
      <c r="L88">
        <v>51900.37</v>
      </c>
      <c r="M88">
        <v>23.80750917431192</v>
      </c>
      <c r="N88">
        <v>18</v>
      </c>
      <c r="O88">
        <v>27.27272727272727</v>
      </c>
      <c r="P88" t="b">
        <v>1</v>
      </c>
      <c r="Q88" s="7">
        <v>45717</v>
      </c>
    </row>
    <row r="89" spans="1:17">
      <c r="A89">
        <v>87</v>
      </c>
      <c r="B89" t="s">
        <v>71</v>
      </c>
      <c r="C89" t="s">
        <v>30</v>
      </c>
      <c r="D89" t="s">
        <v>35</v>
      </c>
      <c r="E89" t="s">
        <v>21</v>
      </c>
      <c r="F89" s="7">
        <v>45324</v>
      </c>
      <c r="G89" s="7">
        <v>45430</v>
      </c>
      <c r="H89">
        <v>1659000</v>
      </c>
      <c r="I89">
        <v>1776975.36</v>
      </c>
      <c r="J89">
        <v>103</v>
      </c>
      <c r="K89">
        <v>106</v>
      </c>
      <c r="L89">
        <v>117975.3600000001</v>
      </c>
      <c r="M89">
        <v>7.111233273056064</v>
      </c>
      <c r="N89">
        <v>3</v>
      </c>
      <c r="O89">
        <v>2.912621359223301</v>
      </c>
      <c r="P89" t="b">
        <v>1</v>
      </c>
      <c r="Q89" s="7">
        <v>45323</v>
      </c>
    </row>
    <row r="90" spans="1:17">
      <c r="A90">
        <v>88</v>
      </c>
      <c r="B90" t="s">
        <v>71</v>
      </c>
      <c r="C90" t="s">
        <v>30</v>
      </c>
      <c r="D90" t="s">
        <v>35</v>
      </c>
      <c r="E90" t="s">
        <v>22</v>
      </c>
      <c r="F90" s="7">
        <v>45514</v>
      </c>
      <c r="G90" s="7">
        <v>45676</v>
      </c>
      <c r="H90">
        <v>710000</v>
      </c>
      <c r="I90">
        <v>760489.76</v>
      </c>
      <c r="J90">
        <v>162</v>
      </c>
      <c r="K90">
        <v>162</v>
      </c>
      <c r="L90">
        <v>50489.76000000001</v>
      </c>
      <c r="M90">
        <v>7.111233802816903</v>
      </c>
      <c r="N90">
        <v>0</v>
      </c>
      <c r="O90">
        <v>0</v>
      </c>
      <c r="P90" t="b">
        <v>1</v>
      </c>
      <c r="Q90" s="7">
        <v>45505</v>
      </c>
    </row>
    <row r="91" spans="1:17">
      <c r="A91">
        <v>89</v>
      </c>
      <c r="B91" t="s">
        <v>71</v>
      </c>
      <c r="C91" t="s">
        <v>30</v>
      </c>
      <c r="D91" t="s">
        <v>35</v>
      </c>
      <c r="E91" t="s">
        <v>23</v>
      </c>
      <c r="F91" s="7">
        <v>45402</v>
      </c>
      <c r="G91" s="7">
        <v>45546</v>
      </c>
      <c r="H91">
        <v>401000</v>
      </c>
      <c r="I91">
        <v>387881.62</v>
      </c>
      <c r="J91">
        <v>144</v>
      </c>
      <c r="K91">
        <v>144</v>
      </c>
      <c r="L91">
        <v>-13118.38</v>
      </c>
      <c r="M91">
        <v>-3.271416458852869</v>
      </c>
      <c r="N91">
        <v>0</v>
      </c>
      <c r="O91">
        <v>0</v>
      </c>
      <c r="P91" t="b">
        <v>0</v>
      </c>
      <c r="Q91" s="7">
        <v>45383</v>
      </c>
    </row>
    <row r="92" spans="1:17">
      <c r="A92">
        <v>90</v>
      </c>
      <c r="B92" t="s">
        <v>50</v>
      </c>
      <c r="C92" t="s">
        <v>31</v>
      </c>
      <c r="D92" t="s">
        <v>35</v>
      </c>
      <c r="E92" t="s">
        <v>18</v>
      </c>
      <c r="F92" s="7">
        <v>45557</v>
      </c>
      <c r="G92" s="7">
        <v>45706</v>
      </c>
      <c r="H92">
        <v>1192000</v>
      </c>
      <c r="I92">
        <v>1374211.83</v>
      </c>
      <c r="J92">
        <v>114</v>
      </c>
      <c r="K92">
        <v>149</v>
      </c>
      <c r="L92">
        <v>182211.8300000001</v>
      </c>
      <c r="M92">
        <v>15.28622734899329</v>
      </c>
      <c r="N92">
        <v>35</v>
      </c>
      <c r="O92">
        <v>30.70175438596491</v>
      </c>
      <c r="P92" t="b">
        <v>1</v>
      </c>
      <c r="Q92" s="7">
        <v>45536</v>
      </c>
    </row>
    <row r="93" spans="1:17">
      <c r="A93">
        <v>91</v>
      </c>
      <c r="B93" t="s">
        <v>50</v>
      </c>
      <c r="C93" t="s">
        <v>31</v>
      </c>
      <c r="D93" t="s">
        <v>35</v>
      </c>
      <c r="E93" t="s">
        <v>20</v>
      </c>
      <c r="F93" s="7">
        <v>45381</v>
      </c>
      <c r="G93" s="7">
        <v>45435</v>
      </c>
      <c r="H93">
        <v>2456000</v>
      </c>
      <c r="I93">
        <v>2639668.81</v>
      </c>
      <c r="J93">
        <v>49</v>
      </c>
      <c r="K93">
        <v>54</v>
      </c>
      <c r="L93">
        <v>183668.8100000001</v>
      </c>
      <c r="M93">
        <v>7.478371742671013</v>
      </c>
      <c r="N93">
        <v>5</v>
      </c>
      <c r="O93">
        <v>10.20408163265306</v>
      </c>
      <c r="P93" t="b">
        <v>1</v>
      </c>
      <c r="Q93" s="7">
        <v>45352</v>
      </c>
    </row>
    <row r="94" spans="1:17">
      <c r="A94">
        <v>92</v>
      </c>
      <c r="B94" t="s">
        <v>50</v>
      </c>
      <c r="C94" t="s">
        <v>31</v>
      </c>
      <c r="D94" t="s">
        <v>35</v>
      </c>
      <c r="E94" t="s">
        <v>22</v>
      </c>
      <c r="F94" s="7">
        <v>45860</v>
      </c>
      <c r="G94" s="7">
        <v>45988</v>
      </c>
      <c r="H94">
        <v>2391000</v>
      </c>
      <c r="I94">
        <v>2805957.5</v>
      </c>
      <c r="J94">
        <v>98</v>
      </c>
      <c r="K94">
        <v>128</v>
      </c>
      <c r="L94">
        <v>414957.5</v>
      </c>
      <c r="M94">
        <v>17.35497699707236</v>
      </c>
      <c r="N94">
        <v>30</v>
      </c>
      <c r="O94">
        <v>30.61224489795918</v>
      </c>
      <c r="P94" t="b">
        <v>1</v>
      </c>
      <c r="Q94" s="7">
        <v>45839</v>
      </c>
    </row>
    <row r="95" spans="1:17">
      <c r="A95">
        <v>93</v>
      </c>
      <c r="B95" t="s">
        <v>50</v>
      </c>
      <c r="C95" t="s">
        <v>31</v>
      </c>
      <c r="D95" t="s">
        <v>35</v>
      </c>
      <c r="E95" t="s">
        <v>24</v>
      </c>
      <c r="F95" s="7">
        <v>45474</v>
      </c>
      <c r="G95" s="7">
        <v>45513</v>
      </c>
      <c r="H95">
        <v>852000</v>
      </c>
      <c r="I95">
        <v>866188.8</v>
      </c>
      <c r="J95">
        <v>39</v>
      </c>
      <c r="K95">
        <v>39</v>
      </c>
      <c r="L95">
        <v>14188.80000000005</v>
      </c>
      <c r="M95">
        <v>1.665352112676062</v>
      </c>
      <c r="N95">
        <v>0</v>
      </c>
      <c r="O95">
        <v>0</v>
      </c>
      <c r="P95" t="b">
        <v>1</v>
      </c>
      <c r="Q95" s="7">
        <v>45474</v>
      </c>
    </row>
    <row r="96" spans="1:17">
      <c r="A96">
        <v>94</v>
      </c>
      <c r="B96" t="s">
        <v>50</v>
      </c>
      <c r="C96" t="s">
        <v>31</v>
      </c>
      <c r="D96" t="s">
        <v>35</v>
      </c>
      <c r="E96" t="s">
        <v>23</v>
      </c>
      <c r="F96" s="7">
        <v>45796</v>
      </c>
      <c r="G96" s="7">
        <v>45933</v>
      </c>
      <c r="H96">
        <v>1149000</v>
      </c>
      <c r="I96">
        <v>1175483.88</v>
      </c>
      <c r="J96">
        <v>123</v>
      </c>
      <c r="K96">
        <v>137</v>
      </c>
      <c r="L96">
        <v>26483.87999999989</v>
      </c>
      <c r="M96">
        <v>2.304950391644899</v>
      </c>
      <c r="N96">
        <v>14</v>
      </c>
      <c r="O96">
        <v>11.38211382113821</v>
      </c>
      <c r="P96" t="b">
        <v>1</v>
      </c>
      <c r="Q96" s="7">
        <v>45778</v>
      </c>
    </row>
    <row r="97" spans="1:17">
      <c r="A97">
        <v>95</v>
      </c>
      <c r="B97" t="s">
        <v>50</v>
      </c>
      <c r="C97" t="s">
        <v>31</v>
      </c>
      <c r="D97" t="s">
        <v>35</v>
      </c>
      <c r="E97" t="s">
        <v>19</v>
      </c>
      <c r="F97" s="7">
        <v>45644</v>
      </c>
      <c r="G97" s="7">
        <v>45831</v>
      </c>
      <c r="H97">
        <v>706000</v>
      </c>
      <c r="I97">
        <v>723169.13</v>
      </c>
      <c r="J97">
        <v>172</v>
      </c>
      <c r="K97">
        <v>187</v>
      </c>
      <c r="L97">
        <v>17169.13</v>
      </c>
      <c r="M97">
        <v>2.431888101983003</v>
      </c>
      <c r="N97">
        <v>15</v>
      </c>
      <c r="O97">
        <v>8.720930232558139</v>
      </c>
      <c r="P97" t="b">
        <v>1</v>
      </c>
      <c r="Q97" s="7">
        <v>45627</v>
      </c>
    </row>
    <row r="98" spans="1:17">
      <c r="A98">
        <v>96</v>
      </c>
      <c r="B98" t="s">
        <v>53</v>
      </c>
      <c r="C98" t="s">
        <v>28</v>
      </c>
      <c r="D98" t="s">
        <v>34</v>
      </c>
      <c r="E98" t="s">
        <v>20</v>
      </c>
      <c r="F98" s="7">
        <v>45661</v>
      </c>
      <c r="G98" s="7">
        <v>45805</v>
      </c>
      <c r="H98">
        <v>1607000</v>
      </c>
      <c r="I98">
        <v>1697792.72</v>
      </c>
      <c r="J98">
        <v>133</v>
      </c>
      <c r="K98">
        <v>144</v>
      </c>
      <c r="L98">
        <v>90792.71999999997</v>
      </c>
      <c r="M98">
        <v>5.649827006845051</v>
      </c>
      <c r="N98">
        <v>11</v>
      </c>
      <c r="O98">
        <v>8.270676691729323</v>
      </c>
      <c r="P98" t="b">
        <v>1</v>
      </c>
      <c r="Q98" s="7">
        <v>45658</v>
      </c>
    </row>
    <row r="99" spans="1:17">
      <c r="A99">
        <v>97</v>
      </c>
      <c r="B99" t="s">
        <v>53</v>
      </c>
      <c r="C99" t="s">
        <v>28</v>
      </c>
      <c r="D99" t="s">
        <v>34</v>
      </c>
      <c r="E99" t="s">
        <v>23</v>
      </c>
      <c r="F99" s="7">
        <v>45764</v>
      </c>
      <c r="G99" s="7">
        <v>45840</v>
      </c>
      <c r="H99">
        <v>945000</v>
      </c>
      <c r="I99">
        <v>1012201.16</v>
      </c>
      <c r="J99">
        <v>63</v>
      </c>
      <c r="K99">
        <v>76</v>
      </c>
      <c r="L99">
        <v>67201.16000000003</v>
      </c>
      <c r="M99">
        <v>7.111233862433866</v>
      </c>
      <c r="N99">
        <v>13</v>
      </c>
      <c r="O99">
        <v>20.63492063492063</v>
      </c>
      <c r="P99" t="b">
        <v>1</v>
      </c>
      <c r="Q99" s="7">
        <v>45748</v>
      </c>
    </row>
    <row r="100" spans="1:17">
      <c r="A100">
        <v>98</v>
      </c>
      <c r="B100" t="s">
        <v>53</v>
      </c>
      <c r="C100" t="s">
        <v>28</v>
      </c>
      <c r="D100" t="s">
        <v>34</v>
      </c>
      <c r="E100" t="s">
        <v>22</v>
      </c>
      <c r="F100" s="7">
        <v>45776</v>
      </c>
      <c r="G100" s="7">
        <v>45943</v>
      </c>
      <c r="H100">
        <v>1461000</v>
      </c>
      <c r="I100">
        <v>1775992.26</v>
      </c>
      <c r="J100">
        <v>122</v>
      </c>
      <c r="K100">
        <v>167</v>
      </c>
      <c r="L100">
        <v>314992.26</v>
      </c>
      <c r="M100">
        <v>21.56004517453799</v>
      </c>
      <c r="N100">
        <v>45</v>
      </c>
      <c r="O100">
        <v>36.88524590163934</v>
      </c>
      <c r="P100" t="b">
        <v>1</v>
      </c>
      <c r="Q100" s="7">
        <v>45748</v>
      </c>
    </row>
    <row r="101" spans="1:17">
      <c r="A101">
        <v>99</v>
      </c>
      <c r="B101" t="s">
        <v>53</v>
      </c>
      <c r="C101" t="s">
        <v>28</v>
      </c>
      <c r="D101" t="s">
        <v>34</v>
      </c>
      <c r="E101" t="s">
        <v>18</v>
      </c>
      <c r="F101" s="7">
        <v>45823</v>
      </c>
      <c r="G101" s="7">
        <v>45962</v>
      </c>
      <c r="H101">
        <v>1962000</v>
      </c>
      <c r="I101">
        <v>2225873.56</v>
      </c>
      <c r="J101">
        <v>111</v>
      </c>
      <c r="K101">
        <v>139</v>
      </c>
      <c r="L101">
        <v>263873.5600000001</v>
      </c>
      <c r="M101">
        <v>13.4492130479103</v>
      </c>
      <c r="N101">
        <v>28</v>
      </c>
      <c r="O101">
        <v>25.22522522522522</v>
      </c>
      <c r="P101" t="b">
        <v>1</v>
      </c>
      <c r="Q101" s="7">
        <v>45809</v>
      </c>
    </row>
    <row r="102" spans="1:17">
      <c r="A102">
        <v>100</v>
      </c>
      <c r="B102" t="s">
        <v>53</v>
      </c>
      <c r="C102" t="s">
        <v>28</v>
      </c>
      <c r="D102" t="s">
        <v>34</v>
      </c>
      <c r="E102" t="s">
        <v>19</v>
      </c>
      <c r="F102" s="7">
        <v>45603</v>
      </c>
      <c r="G102" s="7">
        <v>45721</v>
      </c>
      <c r="H102">
        <v>1954000</v>
      </c>
      <c r="I102">
        <v>2131949.27</v>
      </c>
      <c r="J102">
        <v>105</v>
      </c>
      <c r="K102">
        <v>118</v>
      </c>
      <c r="L102">
        <v>177949.27</v>
      </c>
      <c r="M102">
        <v>9.106922722620267</v>
      </c>
      <c r="N102">
        <v>13</v>
      </c>
      <c r="O102">
        <v>12.38095238095238</v>
      </c>
      <c r="P102" t="b">
        <v>1</v>
      </c>
      <c r="Q102" s="7">
        <v>45597</v>
      </c>
    </row>
    <row r="103" spans="1:17">
      <c r="A103">
        <v>101</v>
      </c>
      <c r="B103" t="s">
        <v>72</v>
      </c>
      <c r="C103" t="s">
        <v>31</v>
      </c>
      <c r="D103" t="s">
        <v>35</v>
      </c>
      <c r="E103" t="s">
        <v>19</v>
      </c>
      <c r="F103" s="7">
        <v>45331</v>
      </c>
      <c r="G103" s="7">
        <v>45421</v>
      </c>
      <c r="H103">
        <v>1548000</v>
      </c>
      <c r="I103">
        <v>1776182.84</v>
      </c>
      <c r="J103">
        <v>76</v>
      </c>
      <c r="K103">
        <v>90</v>
      </c>
      <c r="L103">
        <v>228182.8400000001</v>
      </c>
      <c r="M103">
        <v>14.74049354005169</v>
      </c>
      <c r="N103">
        <v>14</v>
      </c>
      <c r="O103">
        <v>18.42105263157895</v>
      </c>
      <c r="P103" t="b">
        <v>1</v>
      </c>
      <c r="Q103" s="7">
        <v>45323</v>
      </c>
    </row>
    <row r="104" spans="1:17">
      <c r="A104">
        <v>102</v>
      </c>
      <c r="B104" t="s">
        <v>72</v>
      </c>
      <c r="C104" t="s">
        <v>31</v>
      </c>
      <c r="D104" t="s">
        <v>35</v>
      </c>
      <c r="E104" t="s">
        <v>18</v>
      </c>
      <c r="F104" s="7">
        <v>45300</v>
      </c>
      <c r="G104" s="7">
        <v>45464</v>
      </c>
      <c r="H104">
        <v>1977000</v>
      </c>
      <c r="I104">
        <v>1829213.24</v>
      </c>
      <c r="J104">
        <v>164</v>
      </c>
      <c r="K104">
        <v>164</v>
      </c>
      <c r="L104">
        <v>-147786.76</v>
      </c>
      <c r="M104">
        <v>-7.475303995953466</v>
      </c>
      <c r="N104">
        <v>0</v>
      </c>
      <c r="O104">
        <v>0</v>
      </c>
      <c r="P104" t="b">
        <v>0</v>
      </c>
      <c r="Q104" s="7">
        <v>45292</v>
      </c>
    </row>
    <row r="105" spans="1:17">
      <c r="A105">
        <v>103</v>
      </c>
      <c r="B105" t="s">
        <v>72</v>
      </c>
      <c r="C105" t="s">
        <v>31</v>
      </c>
      <c r="D105" t="s">
        <v>35</v>
      </c>
      <c r="E105" t="s">
        <v>22</v>
      </c>
      <c r="F105" s="7">
        <v>45693</v>
      </c>
      <c r="G105" s="7">
        <v>45789</v>
      </c>
      <c r="H105">
        <v>1184000</v>
      </c>
      <c r="I105">
        <v>1250432.11</v>
      </c>
      <c r="J105">
        <v>82</v>
      </c>
      <c r="K105">
        <v>96</v>
      </c>
      <c r="L105">
        <v>66432.1100000001</v>
      </c>
      <c r="M105">
        <v>5.610820101351361</v>
      </c>
      <c r="N105">
        <v>14</v>
      </c>
      <c r="O105">
        <v>17.07317073170732</v>
      </c>
      <c r="P105" t="b">
        <v>1</v>
      </c>
      <c r="Q105" s="7">
        <v>45689</v>
      </c>
    </row>
    <row r="106" spans="1:17">
      <c r="A106">
        <v>104</v>
      </c>
      <c r="B106" t="s">
        <v>72</v>
      </c>
      <c r="C106" t="s">
        <v>31</v>
      </c>
      <c r="D106" t="s">
        <v>35</v>
      </c>
      <c r="E106" t="s">
        <v>23</v>
      </c>
      <c r="F106" s="7">
        <v>45510</v>
      </c>
      <c r="G106" s="7">
        <v>45615</v>
      </c>
      <c r="H106">
        <v>469000</v>
      </c>
      <c r="I106">
        <v>529571.37</v>
      </c>
      <c r="J106">
        <v>103</v>
      </c>
      <c r="K106">
        <v>105</v>
      </c>
      <c r="L106">
        <v>60571.37</v>
      </c>
      <c r="M106">
        <v>12.91500426439232</v>
      </c>
      <c r="N106">
        <v>2</v>
      </c>
      <c r="O106">
        <v>1.941747572815534</v>
      </c>
      <c r="P106" t="b">
        <v>1</v>
      </c>
      <c r="Q106" s="7">
        <v>45505</v>
      </c>
    </row>
    <row r="107" spans="1:17">
      <c r="A107">
        <v>105</v>
      </c>
      <c r="B107" t="s">
        <v>72</v>
      </c>
      <c r="C107" t="s">
        <v>31</v>
      </c>
      <c r="D107" t="s">
        <v>35</v>
      </c>
      <c r="E107" t="s">
        <v>24</v>
      </c>
      <c r="F107" s="7">
        <v>45378</v>
      </c>
      <c r="G107" s="7">
        <v>45522</v>
      </c>
      <c r="H107">
        <v>1267000</v>
      </c>
      <c r="I107">
        <v>1296462.83</v>
      </c>
      <c r="J107">
        <v>144</v>
      </c>
      <c r="K107">
        <v>144</v>
      </c>
      <c r="L107">
        <v>29462.83000000007</v>
      </c>
      <c r="M107">
        <v>2.325400947119185</v>
      </c>
      <c r="N107">
        <v>0</v>
      </c>
      <c r="O107">
        <v>0</v>
      </c>
      <c r="P107" t="b">
        <v>1</v>
      </c>
      <c r="Q107" s="7">
        <v>45352</v>
      </c>
    </row>
    <row r="108" spans="1:17">
      <c r="A108">
        <v>106</v>
      </c>
      <c r="B108" t="s">
        <v>72</v>
      </c>
      <c r="C108" t="s">
        <v>31</v>
      </c>
      <c r="D108" t="s">
        <v>35</v>
      </c>
      <c r="E108" t="s">
        <v>21</v>
      </c>
      <c r="F108" s="7">
        <v>45524</v>
      </c>
      <c r="G108" s="7">
        <v>45688</v>
      </c>
      <c r="H108">
        <v>1887000</v>
      </c>
      <c r="I108">
        <v>2046943.03</v>
      </c>
      <c r="J108">
        <v>141</v>
      </c>
      <c r="K108">
        <v>164</v>
      </c>
      <c r="L108">
        <v>159943.03</v>
      </c>
      <c r="M108">
        <v>8.476048224695285</v>
      </c>
      <c r="N108">
        <v>23</v>
      </c>
      <c r="O108">
        <v>16.31205673758866</v>
      </c>
      <c r="P108" t="b">
        <v>1</v>
      </c>
      <c r="Q108" s="7">
        <v>45505</v>
      </c>
    </row>
    <row r="109" spans="1:17">
      <c r="A109">
        <v>107</v>
      </c>
      <c r="B109" t="s">
        <v>72</v>
      </c>
      <c r="C109" t="s">
        <v>31</v>
      </c>
      <c r="D109" t="s">
        <v>35</v>
      </c>
      <c r="E109" t="s">
        <v>20</v>
      </c>
      <c r="F109" s="7">
        <v>45718</v>
      </c>
      <c r="G109" s="7">
        <v>45784</v>
      </c>
      <c r="H109">
        <v>1813000</v>
      </c>
      <c r="I109">
        <v>2034481.31</v>
      </c>
      <c r="J109">
        <v>57</v>
      </c>
      <c r="K109">
        <v>66</v>
      </c>
      <c r="L109">
        <v>221481.3100000001</v>
      </c>
      <c r="M109">
        <v>12.21628847214562</v>
      </c>
      <c r="N109">
        <v>9</v>
      </c>
      <c r="O109">
        <v>15.78947368421053</v>
      </c>
      <c r="P109" t="b">
        <v>1</v>
      </c>
      <c r="Q109" s="7">
        <v>45717</v>
      </c>
    </row>
    <row r="110" spans="1:17">
      <c r="A110">
        <v>108</v>
      </c>
      <c r="B110" t="s">
        <v>47</v>
      </c>
      <c r="C110" t="s">
        <v>29</v>
      </c>
      <c r="D110" t="s">
        <v>35</v>
      </c>
      <c r="E110" t="s">
        <v>21</v>
      </c>
      <c r="F110" s="7">
        <v>45886</v>
      </c>
      <c r="G110" s="7">
        <v>46054</v>
      </c>
      <c r="H110">
        <v>2210000</v>
      </c>
      <c r="I110">
        <v>2519537.83</v>
      </c>
      <c r="J110">
        <v>149</v>
      </c>
      <c r="K110">
        <v>168</v>
      </c>
      <c r="L110">
        <v>309537.8300000001</v>
      </c>
      <c r="M110">
        <v>14.00623665158371</v>
      </c>
      <c r="N110">
        <v>19</v>
      </c>
      <c r="O110">
        <v>12.75167785234899</v>
      </c>
      <c r="P110" t="b">
        <v>1</v>
      </c>
      <c r="Q110" s="7">
        <v>45870</v>
      </c>
    </row>
    <row r="111" spans="1:17">
      <c r="A111">
        <v>109</v>
      </c>
      <c r="B111" t="s">
        <v>47</v>
      </c>
      <c r="C111" t="s">
        <v>29</v>
      </c>
      <c r="D111" t="s">
        <v>35</v>
      </c>
      <c r="E111" t="s">
        <v>19</v>
      </c>
      <c r="F111" s="7">
        <v>45316</v>
      </c>
      <c r="G111" s="7">
        <v>45435</v>
      </c>
      <c r="H111">
        <v>2219000</v>
      </c>
      <c r="I111">
        <v>2715184.6</v>
      </c>
      <c r="J111">
        <v>85</v>
      </c>
      <c r="K111">
        <v>119</v>
      </c>
      <c r="L111">
        <v>496184.6000000001</v>
      </c>
      <c r="M111">
        <v>22.36073005858495</v>
      </c>
      <c r="N111">
        <v>34</v>
      </c>
      <c r="O111">
        <v>40</v>
      </c>
      <c r="P111" t="b">
        <v>1</v>
      </c>
      <c r="Q111" s="7">
        <v>45292</v>
      </c>
    </row>
    <row r="112" spans="1:17">
      <c r="A112">
        <v>110</v>
      </c>
      <c r="B112" t="s">
        <v>47</v>
      </c>
      <c r="C112" t="s">
        <v>29</v>
      </c>
      <c r="D112" t="s">
        <v>35</v>
      </c>
      <c r="E112" t="s">
        <v>24</v>
      </c>
      <c r="F112" s="7">
        <v>45573</v>
      </c>
      <c r="G112" s="7">
        <v>45672</v>
      </c>
      <c r="H112">
        <v>1229000</v>
      </c>
      <c r="I112">
        <v>1171168.05</v>
      </c>
      <c r="J112">
        <v>99</v>
      </c>
      <c r="K112">
        <v>99</v>
      </c>
      <c r="L112">
        <v>-57831.94999999995</v>
      </c>
      <c r="M112">
        <v>-4.705610252237587</v>
      </c>
      <c r="N112">
        <v>0</v>
      </c>
      <c r="O112">
        <v>0</v>
      </c>
      <c r="P112" t="b">
        <v>0</v>
      </c>
      <c r="Q112" s="7">
        <v>45566</v>
      </c>
    </row>
    <row r="113" spans="1:17">
      <c r="A113">
        <v>111</v>
      </c>
      <c r="B113" t="s">
        <v>47</v>
      </c>
      <c r="C113" t="s">
        <v>29</v>
      </c>
      <c r="D113" t="s">
        <v>35</v>
      </c>
      <c r="E113" t="s">
        <v>20</v>
      </c>
      <c r="F113" s="7">
        <v>45407</v>
      </c>
      <c r="G113" s="7">
        <v>45601</v>
      </c>
      <c r="H113">
        <v>770000</v>
      </c>
      <c r="I113">
        <v>783525.89</v>
      </c>
      <c r="J113">
        <v>165</v>
      </c>
      <c r="K113">
        <v>194</v>
      </c>
      <c r="L113">
        <v>13525.89000000001</v>
      </c>
      <c r="M113">
        <v>1.756609090909093</v>
      </c>
      <c r="N113">
        <v>29</v>
      </c>
      <c r="O113">
        <v>17.57575757575757</v>
      </c>
      <c r="P113" t="b">
        <v>1</v>
      </c>
      <c r="Q113" s="7">
        <v>45383</v>
      </c>
    </row>
    <row r="114" spans="1:17">
      <c r="A114">
        <v>112</v>
      </c>
      <c r="B114" t="s">
        <v>73</v>
      </c>
      <c r="C114" t="s">
        <v>32</v>
      </c>
      <c r="D114" t="s">
        <v>34</v>
      </c>
      <c r="E114" t="s">
        <v>19</v>
      </c>
      <c r="F114" s="7">
        <v>45798</v>
      </c>
      <c r="G114" s="7">
        <v>45992</v>
      </c>
      <c r="H114">
        <v>769000</v>
      </c>
      <c r="I114">
        <v>867727.77</v>
      </c>
      <c r="J114">
        <v>155</v>
      </c>
      <c r="K114">
        <v>194</v>
      </c>
      <c r="L114">
        <v>98727.77000000002</v>
      </c>
      <c r="M114">
        <v>12.83846163849155</v>
      </c>
      <c r="N114">
        <v>39</v>
      </c>
      <c r="O114">
        <v>25.16129032258064</v>
      </c>
      <c r="P114" t="b">
        <v>1</v>
      </c>
      <c r="Q114" s="7">
        <v>45778</v>
      </c>
    </row>
    <row r="115" spans="1:17">
      <c r="A115">
        <v>113</v>
      </c>
      <c r="B115" t="s">
        <v>73</v>
      </c>
      <c r="C115" t="s">
        <v>32</v>
      </c>
      <c r="D115" t="s">
        <v>34</v>
      </c>
      <c r="E115" t="s">
        <v>21</v>
      </c>
      <c r="F115" s="7">
        <v>45726</v>
      </c>
      <c r="G115" s="7">
        <v>45871</v>
      </c>
      <c r="H115">
        <v>1164000</v>
      </c>
      <c r="I115">
        <v>1259637.98</v>
      </c>
      <c r="J115">
        <v>128</v>
      </c>
      <c r="K115">
        <v>145</v>
      </c>
      <c r="L115">
        <v>95637.97999999998</v>
      </c>
      <c r="M115">
        <v>8.216321305841923</v>
      </c>
      <c r="N115">
        <v>17</v>
      </c>
      <c r="O115">
        <v>13.28125</v>
      </c>
      <c r="P115" t="b">
        <v>1</v>
      </c>
      <c r="Q115" s="7">
        <v>45717</v>
      </c>
    </row>
    <row r="116" spans="1:17">
      <c r="A116">
        <v>114</v>
      </c>
      <c r="B116" t="s">
        <v>73</v>
      </c>
      <c r="C116" t="s">
        <v>32</v>
      </c>
      <c r="D116" t="s">
        <v>34</v>
      </c>
      <c r="E116" t="s">
        <v>22</v>
      </c>
      <c r="F116" s="7">
        <v>45615</v>
      </c>
      <c r="G116" s="7">
        <v>45775</v>
      </c>
      <c r="H116">
        <v>1067000</v>
      </c>
      <c r="I116">
        <v>1169419.04</v>
      </c>
      <c r="J116">
        <v>140</v>
      </c>
      <c r="K116">
        <v>160</v>
      </c>
      <c r="L116">
        <v>102419.04</v>
      </c>
      <c r="M116">
        <v>9.59878537956889</v>
      </c>
      <c r="N116">
        <v>20</v>
      </c>
      <c r="O116">
        <v>14.28571428571428</v>
      </c>
      <c r="P116" t="b">
        <v>1</v>
      </c>
      <c r="Q116" s="7">
        <v>45597</v>
      </c>
    </row>
    <row r="117" spans="1:17">
      <c r="A117">
        <v>115</v>
      </c>
      <c r="B117" t="s">
        <v>73</v>
      </c>
      <c r="C117" t="s">
        <v>32</v>
      </c>
      <c r="D117" t="s">
        <v>34</v>
      </c>
      <c r="E117" t="s">
        <v>23</v>
      </c>
      <c r="F117" s="7">
        <v>45513</v>
      </c>
      <c r="G117" s="7">
        <v>45623</v>
      </c>
      <c r="H117">
        <v>981000</v>
      </c>
      <c r="I117">
        <v>1143176.23</v>
      </c>
      <c r="J117">
        <v>99</v>
      </c>
      <c r="K117">
        <v>110</v>
      </c>
      <c r="L117">
        <v>162176.23</v>
      </c>
      <c r="M117">
        <v>16.53172579001019</v>
      </c>
      <c r="N117">
        <v>11</v>
      </c>
      <c r="O117">
        <v>11.11111111111111</v>
      </c>
      <c r="P117" t="b">
        <v>1</v>
      </c>
      <c r="Q117" s="7">
        <v>45505</v>
      </c>
    </row>
    <row r="118" spans="1:17">
      <c r="A118">
        <v>116</v>
      </c>
      <c r="B118" t="s">
        <v>73</v>
      </c>
      <c r="C118" t="s">
        <v>32</v>
      </c>
      <c r="D118" t="s">
        <v>34</v>
      </c>
      <c r="E118" t="s">
        <v>24</v>
      </c>
      <c r="F118" s="7">
        <v>45837</v>
      </c>
      <c r="G118" s="7">
        <v>45928</v>
      </c>
      <c r="H118">
        <v>1401000</v>
      </c>
      <c r="I118">
        <v>1328690</v>
      </c>
      <c r="J118">
        <v>91</v>
      </c>
      <c r="K118">
        <v>91</v>
      </c>
      <c r="L118">
        <v>-72310</v>
      </c>
      <c r="M118">
        <v>-5.161313347608851</v>
      </c>
      <c r="N118">
        <v>0</v>
      </c>
      <c r="O118">
        <v>0</v>
      </c>
      <c r="P118" t="b">
        <v>0</v>
      </c>
      <c r="Q118" s="7">
        <v>45809</v>
      </c>
    </row>
    <row r="119" spans="1:17">
      <c r="A119">
        <v>117</v>
      </c>
      <c r="B119" t="s">
        <v>74</v>
      </c>
      <c r="C119" t="s">
        <v>31</v>
      </c>
      <c r="D119" t="s">
        <v>34</v>
      </c>
      <c r="E119" t="s">
        <v>18</v>
      </c>
      <c r="F119" s="7">
        <v>45297</v>
      </c>
      <c r="G119" s="7">
        <v>45495</v>
      </c>
      <c r="H119">
        <v>2595000</v>
      </c>
      <c r="I119">
        <v>2761335.9</v>
      </c>
      <c r="J119">
        <v>167</v>
      </c>
      <c r="K119">
        <v>198</v>
      </c>
      <c r="L119">
        <v>166335.8999999999</v>
      </c>
      <c r="M119">
        <v>6.409861271676297</v>
      </c>
      <c r="N119">
        <v>31</v>
      </c>
      <c r="O119">
        <v>18.562874251497</v>
      </c>
      <c r="P119" t="b">
        <v>1</v>
      </c>
      <c r="Q119" s="7">
        <v>45292</v>
      </c>
    </row>
    <row r="120" spans="1:17">
      <c r="A120">
        <v>118</v>
      </c>
      <c r="B120" t="s">
        <v>74</v>
      </c>
      <c r="C120" t="s">
        <v>31</v>
      </c>
      <c r="D120" t="s">
        <v>34</v>
      </c>
      <c r="E120" t="s">
        <v>22</v>
      </c>
      <c r="F120" s="7">
        <v>45406</v>
      </c>
      <c r="G120" s="7">
        <v>45483</v>
      </c>
      <c r="H120">
        <v>1000000</v>
      </c>
      <c r="I120">
        <v>989817.4</v>
      </c>
      <c r="J120">
        <v>74</v>
      </c>
      <c r="K120">
        <v>77</v>
      </c>
      <c r="L120">
        <v>-10182.59999999998</v>
      </c>
      <c r="M120">
        <v>-1.018259999999998</v>
      </c>
      <c r="N120">
        <v>3</v>
      </c>
      <c r="O120">
        <v>4.054054054054054</v>
      </c>
      <c r="P120" t="b">
        <v>0</v>
      </c>
      <c r="Q120" s="7">
        <v>45383</v>
      </c>
    </row>
    <row r="121" spans="1:17">
      <c r="A121">
        <v>119</v>
      </c>
      <c r="B121" t="s">
        <v>74</v>
      </c>
      <c r="C121" t="s">
        <v>31</v>
      </c>
      <c r="D121" t="s">
        <v>34</v>
      </c>
      <c r="E121" t="s">
        <v>21</v>
      </c>
      <c r="F121" s="7">
        <v>45631</v>
      </c>
      <c r="G121" s="7">
        <v>45741</v>
      </c>
      <c r="H121">
        <v>1851000</v>
      </c>
      <c r="I121">
        <v>1892647.3</v>
      </c>
      <c r="J121">
        <v>94</v>
      </c>
      <c r="K121">
        <v>110</v>
      </c>
      <c r="L121">
        <v>41647.30000000005</v>
      </c>
      <c r="M121">
        <v>2.249989195029716</v>
      </c>
      <c r="N121">
        <v>16</v>
      </c>
      <c r="O121">
        <v>17.02127659574468</v>
      </c>
      <c r="P121" t="b">
        <v>1</v>
      </c>
      <c r="Q121" s="7">
        <v>45627</v>
      </c>
    </row>
    <row r="122" spans="1:17">
      <c r="A122">
        <v>120</v>
      </c>
      <c r="B122" t="s">
        <v>74</v>
      </c>
      <c r="C122" t="s">
        <v>31</v>
      </c>
      <c r="D122" t="s">
        <v>34</v>
      </c>
      <c r="E122" t="s">
        <v>19</v>
      </c>
      <c r="F122" s="7">
        <v>45458</v>
      </c>
      <c r="G122" s="7">
        <v>45557</v>
      </c>
      <c r="H122">
        <v>197000</v>
      </c>
      <c r="I122">
        <v>211009.13</v>
      </c>
      <c r="J122">
        <v>89</v>
      </c>
      <c r="K122">
        <v>99</v>
      </c>
      <c r="L122">
        <v>14009.13</v>
      </c>
      <c r="M122">
        <v>7.111233502538074</v>
      </c>
      <c r="N122">
        <v>10</v>
      </c>
      <c r="O122">
        <v>11.23595505617977</v>
      </c>
      <c r="P122" t="b">
        <v>1</v>
      </c>
      <c r="Q122" s="7">
        <v>45444</v>
      </c>
    </row>
    <row r="123" spans="1:17">
      <c r="A123">
        <v>121</v>
      </c>
      <c r="B123" t="s">
        <v>74</v>
      </c>
      <c r="C123" t="s">
        <v>31</v>
      </c>
      <c r="D123" t="s">
        <v>34</v>
      </c>
      <c r="E123" t="s">
        <v>24</v>
      </c>
      <c r="F123" s="7">
        <v>45882</v>
      </c>
      <c r="G123" s="7">
        <v>46093</v>
      </c>
      <c r="H123">
        <v>1906000</v>
      </c>
      <c r="I123">
        <v>2041540.11</v>
      </c>
      <c r="J123">
        <v>177</v>
      </c>
      <c r="K123">
        <v>211</v>
      </c>
      <c r="L123">
        <v>135540.1100000001</v>
      </c>
      <c r="M123">
        <v>7.111233473242399</v>
      </c>
      <c r="N123">
        <v>34</v>
      </c>
      <c r="O123">
        <v>19.2090395480226</v>
      </c>
      <c r="P123" t="b">
        <v>1</v>
      </c>
      <c r="Q123" s="7">
        <v>45870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By work package</vt:lpstr>
      <vt:lpstr>By city</vt:lpstr>
      <vt:lpstr>By client</vt:lpstr>
      <vt:lpstr>Monthly trend</vt:lpstr>
      <vt:lpstr>Top 10 overruns</vt:lpstr>
      <vt:lpstr>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2026-10-17T13:19:03Z</dcterms:created>
  <dcterms:modified xsi:type="dcterms:W3CDTF">2026-10-17T13:19:03Z</dcterms:modified>
</cp:coreProperties>
</file>